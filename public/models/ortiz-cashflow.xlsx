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440279a38a6d5b/Escritorio/"/>
    </mc:Choice>
  </mc:AlternateContent>
  <xr:revisionPtr revIDLastSave="60" documentId="8_{81927BF5-E366-4140-A98B-6D0CBB7EDD5F}" xr6:coauthVersionLast="47" xr6:coauthVersionMax="47" xr10:uidLastSave="{704B9DE6-E0A2-4BC0-A2C0-006CD026C34B}"/>
  <bookViews>
    <workbookView xWindow="-96" yWindow="-96" windowWidth="23232" windowHeight="12432" activeTab="1" xr2:uid="{7F29031F-2161-2747-AA8B-8613B19CFE52}"/>
  </bookViews>
  <sheets>
    <sheet name="EERR Mensual" sheetId="1" r:id="rId1"/>
    <sheet name="Cash Flow" sheetId="2" r:id="rId2"/>
    <sheet name="ITEMS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I5" i="2"/>
  <c r="I11" i="2"/>
  <c r="F11" i="2"/>
  <c r="X9" i="1"/>
  <c r="Y9" i="1"/>
  <c r="Z9" i="1"/>
  <c r="AA9" i="1"/>
  <c r="AB9" i="1"/>
  <c r="AC9" i="1"/>
  <c r="AD9" i="1"/>
  <c r="AE9" i="1"/>
  <c r="AF9" i="1"/>
  <c r="AG9" i="1"/>
  <c r="AH9" i="1"/>
  <c r="AI9" i="1"/>
  <c r="AM24" i="1"/>
  <c r="AM30" i="1" s="1"/>
  <c r="AM71" i="1" s="1"/>
  <c r="AN24" i="1"/>
  <c r="AN30" i="1" s="1"/>
  <c r="AN71" i="1" s="1"/>
  <c r="AO24" i="1"/>
  <c r="AO30" i="1" s="1"/>
  <c r="AO71" i="1" s="1"/>
  <c r="AP24" i="1"/>
  <c r="AQ24" i="1"/>
  <c r="AR24" i="1"/>
  <c r="AR30" i="1" s="1"/>
  <c r="AS24" i="1"/>
  <c r="AS30" i="1" s="1"/>
  <c r="AS71" i="1" s="1"/>
  <c r="AT24" i="1"/>
  <c r="AT30" i="1" s="1"/>
  <c r="AT71" i="1" s="1"/>
  <c r="AU24" i="1"/>
  <c r="AU30" i="1" s="1"/>
  <c r="AV24" i="1"/>
  <c r="AW24" i="1"/>
  <c r="AW30" i="1" s="1"/>
  <c r="AL24" i="1"/>
  <c r="AL30" i="1" s="1"/>
  <c r="AL71" i="1" s="1"/>
  <c r="AL87" i="1" s="1"/>
  <c r="Y24" i="1"/>
  <c r="Z24" i="1"/>
  <c r="AA24" i="1"/>
  <c r="AB24" i="1"/>
  <c r="AC24" i="1"/>
  <c r="AD24" i="1"/>
  <c r="AE24" i="1"/>
  <c r="AF24" i="1"/>
  <c r="AG24" i="1"/>
  <c r="AH24" i="1"/>
  <c r="AI24" i="1"/>
  <c r="X24" i="1"/>
  <c r="K24" i="1"/>
  <c r="L24" i="1"/>
  <c r="M24" i="1"/>
  <c r="N24" i="1"/>
  <c r="O24" i="1"/>
  <c r="P24" i="1"/>
  <c r="Q24" i="1"/>
  <c r="R24" i="1"/>
  <c r="S24" i="1"/>
  <c r="T24" i="1"/>
  <c r="U24" i="1"/>
  <c r="J24" i="1"/>
  <c r="AR83" i="1"/>
  <c r="AR84" i="1" s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W6" i="1"/>
  <c r="AW5" i="1" s="1"/>
  <c r="AW16" i="1" s="1"/>
  <c r="AV6" i="1"/>
  <c r="AV5" i="1" s="1"/>
  <c r="AU6" i="1"/>
  <c r="AU5" i="1" s="1"/>
  <c r="AU67" i="1" s="1"/>
  <c r="AT6" i="1"/>
  <c r="AT5" i="1" s="1"/>
  <c r="AT67" i="1" s="1"/>
  <c r="AS6" i="1"/>
  <c r="AS5" i="1" s="1"/>
  <c r="AR6" i="1"/>
  <c r="AR5" i="1" s="1"/>
  <c r="AR67" i="1" s="1"/>
  <c r="AQ6" i="1"/>
  <c r="AQ5" i="1" s="1"/>
  <c r="AP6" i="1"/>
  <c r="AP5" i="1" s="1"/>
  <c r="AO6" i="1"/>
  <c r="AO5" i="1" s="1"/>
  <c r="AO50" i="1" s="1"/>
  <c r="AN6" i="1"/>
  <c r="AN5" i="1" s="1"/>
  <c r="AM6" i="1"/>
  <c r="AM5" i="1" s="1"/>
  <c r="AM67" i="1" s="1"/>
  <c r="AL6" i="1"/>
  <c r="AL5" i="1" s="1"/>
  <c r="AL67" i="1" s="1"/>
  <c r="Z6" i="1"/>
  <c r="Z5" i="1" s="1"/>
  <c r="AA6" i="1"/>
  <c r="AA5" i="1" s="1"/>
  <c r="AB6" i="1"/>
  <c r="AB5" i="1" s="1"/>
  <c r="AC6" i="1"/>
  <c r="AC5" i="1" s="1"/>
  <c r="AD6" i="1"/>
  <c r="AD5" i="1" s="1"/>
  <c r="AE6" i="1"/>
  <c r="AE5" i="1" s="1"/>
  <c r="AF6" i="1"/>
  <c r="AF5" i="1" s="1"/>
  <c r="AG6" i="1"/>
  <c r="AG5" i="1" s="1"/>
  <c r="AH6" i="1"/>
  <c r="AH5" i="1" s="1"/>
  <c r="AI6" i="1"/>
  <c r="AI5" i="1" s="1"/>
  <c r="X6" i="1"/>
  <c r="X5" i="1" s="1"/>
  <c r="K6" i="1"/>
  <c r="K5" i="1" s="1"/>
  <c r="L6" i="1"/>
  <c r="L5" i="1" s="1"/>
  <c r="M6" i="1"/>
  <c r="M5" i="1" s="1"/>
  <c r="N6" i="1"/>
  <c r="N5" i="1" s="1"/>
  <c r="O6" i="1"/>
  <c r="O5" i="1" s="1"/>
  <c r="P6" i="1"/>
  <c r="P5" i="1" s="1"/>
  <c r="Q6" i="1"/>
  <c r="Q5" i="1" s="1"/>
  <c r="R6" i="1"/>
  <c r="R5" i="1" s="1"/>
  <c r="S6" i="1"/>
  <c r="S5" i="1" s="1"/>
  <c r="T6" i="1"/>
  <c r="T5" i="1" s="1"/>
  <c r="U6" i="1"/>
  <c r="U5" i="1" s="1"/>
  <c r="J6" i="1"/>
  <c r="J5" i="1" s="1"/>
  <c r="C37" i="1"/>
  <c r="S10" i="2"/>
  <c r="H33" i="2"/>
  <c r="H32" i="2"/>
  <c r="H30" i="2"/>
  <c r="H25" i="2"/>
  <c r="N5" i="2" s="1"/>
  <c r="N11" i="2" s="1"/>
  <c r="D24" i="2"/>
  <c r="AV30" i="1" l="1"/>
  <c r="AV71" i="1" s="1"/>
  <c r="Y6" i="1"/>
  <c r="Y5" i="1" s="1"/>
  <c r="J14" i="1"/>
  <c r="AV23" i="1"/>
  <c r="AU71" i="1"/>
  <c r="AU23" i="1"/>
  <c r="AW71" i="1"/>
  <c r="AW23" i="1"/>
  <c r="AR71" i="1"/>
  <c r="AR23" i="1"/>
  <c r="AN23" i="1"/>
  <c r="AS23" i="1"/>
  <c r="AO23" i="1"/>
  <c r="AP30" i="1"/>
  <c r="AP71" i="1" s="1"/>
  <c r="AM23" i="1"/>
  <c r="AQ30" i="1"/>
  <c r="AQ71" i="1" s="1"/>
  <c r="AQ87" i="1" s="1"/>
  <c r="AT23" i="1"/>
  <c r="AL23" i="1"/>
  <c r="AQ66" i="1"/>
  <c r="AQ50" i="1"/>
  <c r="AQ16" i="1"/>
  <c r="AQ14" i="1"/>
  <c r="AQ12" i="1"/>
  <c r="AQ67" i="1"/>
  <c r="AQ17" i="1"/>
  <c r="AQ15" i="1"/>
  <c r="AQ13" i="1"/>
  <c r="AQ11" i="1"/>
  <c r="AN66" i="1"/>
  <c r="AN50" i="1"/>
  <c r="AN16" i="1"/>
  <c r="AN14" i="1"/>
  <c r="AN12" i="1"/>
  <c r="AN67" i="1"/>
  <c r="AN17" i="1"/>
  <c r="AN15" i="1"/>
  <c r="AN13" i="1"/>
  <c r="AN11" i="1"/>
  <c r="AS13" i="1"/>
  <c r="AS17" i="1"/>
  <c r="AS11" i="1"/>
  <c r="AS66" i="1"/>
  <c r="AS50" i="1"/>
  <c r="AS16" i="1"/>
  <c r="AS14" i="1"/>
  <c r="AS12" i="1"/>
  <c r="AS15" i="1"/>
  <c r="AS67" i="1"/>
  <c r="AV66" i="1"/>
  <c r="AV50" i="1"/>
  <c r="AV16" i="1"/>
  <c r="AV14" i="1"/>
  <c r="AV12" i="1"/>
  <c r="AV67" i="1"/>
  <c r="AV17" i="1"/>
  <c r="AV15" i="1"/>
  <c r="AV13" i="1"/>
  <c r="AV11" i="1"/>
  <c r="AP66" i="1"/>
  <c r="AP50" i="1"/>
  <c r="AP16" i="1"/>
  <c r="AP14" i="1"/>
  <c r="AP12" i="1"/>
  <c r="AP67" i="1"/>
  <c r="AP17" i="1"/>
  <c r="AP15" i="1"/>
  <c r="AP13" i="1"/>
  <c r="AP11" i="1"/>
  <c r="AM87" i="1"/>
  <c r="AN87" i="1" s="1"/>
  <c r="AO87" i="1" s="1"/>
  <c r="AW12" i="1"/>
  <c r="AR12" i="1"/>
  <c r="AR14" i="1"/>
  <c r="AR16" i="1"/>
  <c r="AR50" i="1"/>
  <c r="AR66" i="1"/>
  <c r="AO11" i="1"/>
  <c r="AW11" i="1"/>
  <c r="AO13" i="1"/>
  <c r="AW13" i="1"/>
  <c r="AO15" i="1"/>
  <c r="AW15" i="1"/>
  <c r="AO17" i="1"/>
  <c r="AW17" i="1"/>
  <c r="AO67" i="1"/>
  <c r="AW67" i="1"/>
  <c r="AW66" i="1"/>
  <c r="AL12" i="1"/>
  <c r="AT12" i="1"/>
  <c r="AL14" i="1"/>
  <c r="AT14" i="1"/>
  <c r="AL16" i="1"/>
  <c r="AT16" i="1"/>
  <c r="AL50" i="1"/>
  <c r="AL73" i="1" s="1"/>
  <c r="AL89" i="1" s="1"/>
  <c r="AT50" i="1"/>
  <c r="AL66" i="1"/>
  <c r="AT66" i="1"/>
  <c r="AO12" i="1"/>
  <c r="AO16" i="1"/>
  <c r="AW50" i="1"/>
  <c r="AO66" i="1"/>
  <c r="AM12" i="1"/>
  <c r="AU12" i="1"/>
  <c r="AM14" i="1"/>
  <c r="AU14" i="1"/>
  <c r="AM16" i="1"/>
  <c r="AU16" i="1"/>
  <c r="AM50" i="1"/>
  <c r="AM73" i="1" s="1"/>
  <c r="AU50" i="1"/>
  <c r="AM66" i="1"/>
  <c r="AU66" i="1"/>
  <c r="AW14" i="1"/>
  <c r="AR11" i="1"/>
  <c r="AR13" i="1"/>
  <c r="AR15" i="1"/>
  <c r="AR17" i="1"/>
  <c r="AO14" i="1"/>
  <c r="AL11" i="1"/>
  <c r="AT11" i="1"/>
  <c r="AL13" i="1"/>
  <c r="AT13" i="1"/>
  <c r="AL15" i="1"/>
  <c r="AT15" i="1"/>
  <c r="AL17" i="1"/>
  <c r="AT17" i="1"/>
  <c r="AM11" i="1"/>
  <c r="AU11" i="1"/>
  <c r="AM13" i="1"/>
  <c r="AU13" i="1"/>
  <c r="AM15" i="1"/>
  <c r="AU15" i="1"/>
  <c r="AM17" i="1"/>
  <c r="AU17" i="1"/>
  <c r="O5" i="2"/>
  <c r="O11" i="2" s="1"/>
  <c r="P5" i="2"/>
  <c r="H5" i="2"/>
  <c r="H11" i="2" s="1"/>
  <c r="K5" i="2"/>
  <c r="K11" i="2" s="1"/>
  <c r="L5" i="2"/>
  <c r="L11" i="2" s="1"/>
  <c r="F5" i="2"/>
  <c r="G5" i="2"/>
  <c r="G11" i="2" s="1"/>
  <c r="J5" i="2"/>
  <c r="J11" i="2" s="1"/>
  <c r="M5" i="2"/>
  <c r="M11" i="2" s="1"/>
  <c r="D26" i="2"/>
  <c r="H31" i="2"/>
  <c r="S8" i="2"/>
  <c r="D25" i="2"/>
  <c r="AQ23" i="1" l="1"/>
  <c r="AR87" i="1"/>
  <c r="AS87" i="1" s="1"/>
  <c r="AT87" i="1" s="1"/>
  <c r="AU87" i="1" s="1"/>
  <c r="AV87" i="1" s="1"/>
  <c r="AP23" i="1"/>
  <c r="AT55" i="1"/>
  <c r="AT68" i="1" s="1"/>
  <c r="AT65" i="1" s="1"/>
  <c r="AT10" i="1"/>
  <c r="AT19" i="1" s="1"/>
  <c r="AM55" i="1"/>
  <c r="AM68" i="1" s="1"/>
  <c r="AM65" i="1" s="1"/>
  <c r="AM10" i="1"/>
  <c r="AM19" i="1" s="1"/>
  <c r="AN10" i="1"/>
  <c r="AN19" i="1" s="1"/>
  <c r="AN55" i="1"/>
  <c r="AN68" i="1" s="1"/>
  <c r="AN65" i="1" s="1"/>
  <c r="AO55" i="1"/>
  <c r="AO68" i="1" s="1"/>
  <c r="AO65" i="1" s="1"/>
  <c r="AO10" i="1"/>
  <c r="AO19" i="1" s="1"/>
  <c r="AL55" i="1"/>
  <c r="AL68" i="1" s="1"/>
  <c r="AL65" i="1" s="1"/>
  <c r="AL10" i="1"/>
  <c r="AL19" i="1" s="1"/>
  <c r="AQ10" i="1"/>
  <c r="AQ19" i="1" s="1"/>
  <c r="AQ55" i="1"/>
  <c r="AQ68" i="1" s="1"/>
  <c r="AQ65" i="1" s="1"/>
  <c r="AU55" i="1"/>
  <c r="AU68" i="1" s="1"/>
  <c r="AU65" i="1" s="1"/>
  <c r="AU10" i="1"/>
  <c r="AU19" i="1" s="1"/>
  <c r="AS55" i="1"/>
  <c r="AS68" i="1" s="1"/>
  <c r="AS65" i="1" s="1"/>
  <c r="AS10" i="1"/>
  <c r="AS19" i="1" s="1"/>
  <c r="AP10" i="1"/>
  <c r="AP19" i="1" s="1"/>
  <c r="AP55" i="1"/>
  <c r="AP68" i="1" s="1"/>
  <c r="AP65" i="1" s="1"/>
  <c r="AM89" i="1"/>
  <c r="AN73" i="1"/>
  <c r="AV10" i="1"/>
  <c r="AV19" i="1" s="1"/>
  <c r="AV55" i="1"/>
  <c r="AV68" i="1" s="1"/>
  <c r="AV65" i="1" s="1"/>
  <c r="AR55" i="1"/>
  <c r="AR68" i="1" s="1"/>
  <c r="AR65" i="1" s="1"/>
  <c r="AR10" i="1"/>
  <c r="AR19" i="1" s="1"/>
  <c r="AW10" i="1"/>
  <c r="AW19" i="1" s="1"/>
  <c r="AW55" i="1"/>
  <c r="AW68" i="1" s="1"/>
  <c r="AW65" i="1" s="1"/>
  <c r="D27" i="2"/>
  <c r="E5" i="2"/>
  <c r="H34" i="2"/>
  <c r="H35" i="2" s="1"/>
  <c r="C41" i="1" s="1"/>
  <c r="AW64" i="1" l="1"/>
  <c r="AP64" i="1"/>
  <c r="AU64" i="1"/>
  <c r="AM64" i="1"/>
  <c r="AQ64" i="1"/>
  <c r="AR64" i="1"/>
  <c r="AV64" i="1"/>
  <c r="AS64" i="1"/>
  <c r="AN34" i="1"/>
  <c r="AN20" i="1"/>
  <c r="AQ34" i="1"/>
  <c r="AQ20" i="1"/>
  <c r="AS20" i="1"/>
  <c r="AS34" i="1"/>
  <c r="AL34" i="1"/>
  <c r="AL20" i="1"/>
  <c r="AM34" i="1"/>
  <c r="AM20" i="1"/>
  <c r="AV34" i="1"/>
  <c r="AV20" i="1"/>
  <c r="AW34" i="1"/>
  <c r="AW20" i="1"/>
  <c r="AN89" i="1"/>
  <c r="AO73" i="1"/>
  <c r="AO64" i="1"/>
  <c r="AT64" i="1"/>
  <c r="AR34" i="1"/>
  <c r="AR20" i="1"/>
  <c r="AU34" i="1"/>
  <c r="AU20" i="1"/>
  <c r="AO34" i="1"/>
  <c r="AO20" i="1"/>
  <c r="AN64" i="1"/>
  <c r="AT34" i="1"/>
  <c r="AT20" i="1"/>
  <c r="AP34" i="1"/>
  <c r="AP20" i="1"/>
  <c r="E11" i="2"/>
  <c r="AQ35" i="1" l="1"/>
  <c r="AQ39" i="1"/>
  <c r="AN35" i="1"/>
  <c r="AN39" i="1"/>
  <c r="AS39" i="1"/>
  <c r="AS35" i="1"/>
  <c r="AW35" i="1"/>
  <c r="AW39" i="1"/>
  <c r="AP35" i="1"/>
  <c r="AP39" i="1"/>
  <c r="AR39" i="1"/>
  <c r="AR35" i="1"/>
  <c r="AV35" i="1"/>
  <c r="AV39" i="1"/>
  <c r="AM39" i="1"/>
  <c r="AM35" i="1"/>
  <c r="AO89" i="1"/>
  <c r="AP73" i="1"/>
  <c r="AU39" i="1"/>
  <c r="AU35" i="1"/>
  <c r="AT39" i="1"/>
  <c r="AT35" i="1"/>
  <c r="AO35" i="1"/>
  <c r="AO39" i="1"/>
  <c r="AL39" i="1"/>
  <c r="AL35" i="1"/>
  <c r="AD83" i="1"/>
  <c r="AD84" i="1" s="1"/>
  <c r="AI63" i="1"/>
  <c r="AH63" i="1"/>
  <c r="AG63" i="1"/>
  <c r="AF63" i="1"/>
  <c r="AE63" i="1"/>
  <c r="AD63" i="1"/>
  <c r="AC63" i="1"/>
  <c r="AB63" i="1"/>
  <c r="AA63" i="1"/>
  <c r="Z63" i="1"/>
  <c r="Y63" i="1"/>
  <c r="X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AI30" i="1"/>
  <c r="AI71" i="1" s="1"/>
  <c r="AH30" i="1"/>
  <c r="AH71" i="1" s="1"/>
  <c r="AG30" i="1"/>
  <c r="AG71" i="1" s="1"/>
  <c r="AF30" i="1"/>
  <c r="AF71" i="1" s="1"/>
  <c r="AE30" i="1"/>
  <c r="AE71" i="1" s="1"/>
  <c r="AD30" i="1"/>
  <c r="AD71" i="1" s="1"/>
  <c r="AC30" i="1"/>
  <c r="AC71" i="1" s="1"/>
  <c r="AC87" i="1" s="1"/>
  <c r="AB30" i="1"/>
  <c r="AB71" i="1" s="1"/>
  <c r="AA30" i="1"/>
  <c r="AA71" i="1" s="1"/>
  <c r="Z30" i="1"/>
  <c r="Z71" i="1" s="1"/>
  <c r="Y30" i="1"/>
  <c r="Y71" i="1" s="1"/>
  <c r="X30" i="1"/>
  <c r="X71" i="1" s="1"/>
  <c r="X87" i="1" s="1"/>
  <c r="U30" i="1"/>
  <c r="U71" i="1" s="1"/>
  <c r="T30" i="1"/>
  <c r="T71" i="1" s="1"/>
  <c r="S30" i="1"/>
  <c r="S71" i="1" s="1"/>
  <c r="R30" i="1"/>
  <c r="R71" i="1" s="1"/>
  <c r="Q30" i="1"/>
  <c r="Q71" i="1" s="1"/>
  <c r="P30" i="1"/>
  <c r="P71" i="1" s="1"/>
  <c r="O30" i="1"/>
  <c r="O71" i="1" s="1"/>
  <c r="O87" i="1" s="1"/>
  <c r="N30" i="1"/>
  <c r="N71" i="1" s="1"/>
  <c r="M30" i="1"/>
  <c r="M71" i="1" s="1"/>
  <c r="L30" i="1"/>
  <c r="L71" i="1" s="1"/>
  <c r="K30" i="1"/>
  <c r="K71" i="1" s="1"/>
  <c r="J30" i="1"/>
  <c r="J71" i="1" s="1"/>
  <c r="J87" i="1" s="1"/>
  <c r="AI29" i="1"/>
  <c r="AH29" i="1"/>
  <c r="AG29" i="1"/>
  <c r="AF29" i="1"/>
  <c r="AE29" i="1"/>
  <c r="AD29" i="1"/>
  <c r="AC29" i="1"/>
  <c r="AB29" i="1"/>
  <c r="AA29" i="1"/>
  <c r="Z29" i="1"/>
  <c r="Y29" i="1"/>
  <c r="X29" i="1"/>
  <c r="U29" i="1"/>
  <c r="T29" i="1"/>
  <c r="S29" i="1"/>
  <c r="R29" i="1"/>
  <c r="Q29" i="1"/>
  <c r="P29" i="1"/>
  <c r="O29" i="1"/>
  <c r="N29" i="1"/>
  <c r="M29" i="1"/>
  <c r="L29" i="1"/>
  <c r="K29" i="1"/>
  <c r="J29" i="1"/>
  <c r="AI28" i="1"/>
  <c r="AH28" i="1"/>
  <c r="AG28" i="1"/>
  <c r="AF28" i="1"/>
  <c r="AE28" i="1"/>
  <c r="AD28" i="1"/>
  <c r="AC28" i="1"/>
  <c r="AB28" i="1"/>
  <c r="AA28" i="1"/>
  <c r="Z28" i="1"/>
  <c r="Y28" i="1"/>
  <c r="X28" i="1"/>
  <c r="U28" i="1"/>
  <c r="T28" i="1"/>
  <c r="S28" i="1"/>
  <c r="R28" i="1"/>
  <c r="Q28" i="1"/>
  <c r="P28" i="1"/>
  <c r="O28" i="1"/>
  <c r="N28" i="1"/>
  <c r="M28" i="1"/>
  <c r="L28" i="1"/>
  <c r="K28" i="1"/>
  <c r="J28" i="1"/>
  <c r="AI27" i="1"/>
  <c r="AH27" i="1"/>
  <c r="AG27" i="1"/>
  <c r="AF27" i="1"/>
  <c r="AE27" i="1"/>
  <c r="AD27" i="1"/>
  <c r="AC27" i="1"/>
  <c r="AB27" i="1"/>
  <c r="AA27" i="1"/>
  <c r="Z27" i="1"/>
  <c r="Y27" i="1"/>
  <c r="X27" i="1"/>
  <c r="U27" i="1"/>
  <c r="T27" i="1"/>
  <c r="S27" i="1"/>
  <c r="R27" i="1"/>
  <c r="Q27" i="1"/>
  <c r="P27" i="1"/>
  <c r="O27" i="1"/>
  <c r="N27" i="1"/>
  <c r="M27" i="1"/>
  <c r="L27" i="1"/>
  <c r="K27" i="1"/>
  <c r="J27" i="1"/>
  <c r="AI50" i="1"/>
  <c r="AH50" i="1"/>
  <c r="AG50" i="1"/>
  <c r="AF14" i="1"/>
  <c r="AE12" i="1"/>
  <c r="AD50" i="1"/>
  <c r="AC50" i="1"/>
  <c r="AB50" i="1"/>
  <c r="AA50" i="1"/>
  <c r="Z50" i="1"/>
  <c r="Y50" i="1"/>
  <c r="Y73" i="1" s="1"/>
  <c r="X17" i="1"/>
  <c r="S50" i="1"/>
  <c r="R50" i="1"/>
  <c r="P50" i="1"/>
  <c r="O50" i="1"/>
  <c r="N67" i="1"/>
  <c r="M66" i="1"/>
  <c r="J50" i="1"/>
  <c r="J73" i="1" s="1"/>
  <c r="J89" i="1" s="1"/>
  <c r="M23" i="1" l="1"/>
  <c r="S23" i="1"/>
  <c r="AI23" i="1"/>
  <c r="AG23" i="1"/>
  <c r="AA23" i="1"/>
  <c r="AD23" i="1"/>
  <c r="AB23" i="1"/>
  <c r="Z23" i="1"/>
  <c r="AC23" i="1"/>
  <c r="T23" i="1"/>
  <c r="AF23" i="1"/>
  <c r="U23" i="1"/>
  <c r="R23" i="1"/>
  <c r="K23" i="1"/>
  <c r="J23" i="1"/>
  <c r="N23" i="1"/>
  <c r="Q23" i="1"/>
  <c r="AO40" i="1"/>
  <c r="AO42" i="1"/>
  <c r="AO72" i="1" s="1"/>
  <c r="AM42" i="1"/>
  <c r="AM72" i="1" s="1"/>
  <c r="AM40" i="1"/>
  <c r="AV40" i="1"/>
  <c r="AV42" i="1"/>
  <c r="AV72" i="1" s="1"/>
  <c r="AT42" i="1"/>
  <c r="AT72" i="1" s="1"/>
  <c r="AT40" i="1"/>
  <c r="AU42" i="1"/>
  <c r="AU72" i="1" s="1"/>
  <c r="AU40" i="1"/>
  <c r="AP89" i="1"/>
  <c r="AQ73" i="1"/>
  <c r="AP40" i="1"/>
  <c r="AP42" i="1"/>
  <c r="AP72" i="1" s="1"/>
  <c r="AQ40" i="1"/>
  <c r="AQ42" i="1"/>
  <c r="AQ72" i="1" s="1"/>
  <c r="AW42" i="1"/>
  <c r="AW72" i="1" s="1"/>
  <c r="AW40" i="1"/>
  <c r="AS40" i="1"/>
  <c r="AS42" i="1"/>
  <c r="AS72" i="1" s="1"/>
  <c r="AN40" i="1"/>
  <c r="AN42" i="1"/>
  <c r="AN72" i="1" s="1"/>
  <c r="AR42" i="1"/>
  <c r="AR72" i="1" s="1"/>
  <c r="AR40" i="1"/>
  <c r="AL42" i="1"/>
  <c r="AL72" i="1" s="1"/>
  <c r="AL88" i="1" s="1"/>
  <c r="AL40" i="1"/>
  <c r="O23" i="1"/>
  <c r="Y23" i="1"/>
  <c r="I65" i="1"/>
  <c r="I64" i="1" s="1"/>
  <c r="I74" i="1" s="1"/>
  <c r="C38" i="1"/>
  <c r="C39" i="1" s="1"/>
  <c r="Z66" i="1"/>
  <c r="AH66" i="1"/>
  <c r="AD67" i="1"/>
  <c r="AA66" i="1"/>
  <c r="AI66" i="1"/>
  <c r="AE67" i="1"/>
  <c r="AB66" i="1"/>
  <c r="X67" i="1"/>
  <c r="AF67" i="1"/>
  <c r="AC66" i="1"/>
  <c r="Y67" i="1"/>
  <c r="AG67" i="1"/>
  <c r="AD66" i="1"/>
  <c r="Z67" i="1"/>
  <c r="AH67" i="1"/>
  <c r="AE66" i="1"/>
  <c r="AA67" i="1"/>
  <c r="AI67" i="1"/>
  <c r="X66" i="1"/>
  <c r="AF66" i="1"/>
  <c r="AB67" i="1"/>
  <c r="Y66" i="1"/>
  <c r="AG66" i="1"/>
  <c r="AC67" i="1"/>
  <c r="Y87" i="1"/>
  <c r="Z87" i="1" s="1"/>
  <c r="AA87" i="1" s="1"/>
  <c r="AD87" i="1"/>
  <c r="AE87" i="1" s="1"/>
  <c r="AF87" i="1" s="1"/>
  <c r="AG87" i="1" s="1"/>
  <c r="AH87" i="1" s="1"/>
  <c r="Z73" i="1"/>
  <c r="P23" i="1"/>
  <c r="L23" i="1"/>
  <c r="AH23" i="1"/>
  <c r="P87" i="1"/>
  <c r="Q87" i="1" s="1"/>
  <c r="R87" i="1" s="1"/>
  <c r="S87" i="1" s="1"/>
  <c r="T87" i="1" s="1"/>
  <c r="K87" i="1"/>
  <c r="L87" i="1" s="1"/>
  <c r="M87" i="1" s="1"/>
  <c r="T50" i="1"/>
  <c r="T66" i="1"/>
  <c r="T67" i="1"/>
  <c r="U66" i="1"/>
  <c r="U67" i="1"/>
  <c r="M67" i="1"/>
  <c r="AD14" i="1"/>
  <c r="S66" i="1"/>
  <c r="AE23" i="1"/>
  <c r="Q50" i="1"/>
  <c r="Q67" i="1"/>
  <c r="Q66" i="1"/>
  <c r="R67" i="1"/>
  <c r="R66" i="1"/>
  <c r="P66" i="1"/>
  <c r="S67" i="1"/>
  <c r="O66" i="1"/>
  <c r="P67" i="1"/>
  <c r="N66" i="1"/>
  <c r="O67" i="1"/>
  <c r="T17" i="1"/>
  <c r="X23" i="1"/>
  <c r="T13" i="1"/>
  <c r="J66" i="1"/>
  <c r="J67" i="1"/>
  <c r="K67" i="1"/>
  <c r="K66" i="1"/>
  <c r="K50" i="1"/>
  <c r="K73" i="1" s="1"/>
  <c r="K16" i="1"/>
  <c r="K11" i="1"/>
  <c r="K17" i="1"/>
  <c r="K13" i="1"/>
  <c r="K12" i="1"/>
  <c r="K14" i="1"/>
  <c r="K15" i="1"/>
  <c r="L67" i="1"/>
  <c r="L66" i="1"/>
  <c r="L50" i="1"/>
  <c r="L11" i="1"/>
  <c r="L17" i="1"/>
  <c r="L13" i="1"/>
  <c r="L12" i="1"/>
  <c r="L15" i="1"/>
  <c r="L14" i="1"/>
  <c r="L16" i="1"/>
  <c r="M14" i="1"/>
  <c r="M13" i="1"/>
  <c r="M11" i="1"/>
  <c r="M15" i="1"/>
  <c r="M16" i="1"/>
  <c r="M50" i="1"/>
  <c r="M17" i="1"/>
  <c r="M12" i="1"/>
  <c r="S11" i="1"/>
  <c r="AC17" i="1"/>
  <c r="U17" i="1"/>
  <c r="U15" i="1"/>
  <c r="U11" i="1"/>
  <c r="U16" i="1"/>
  <c r="U13" i="1"/>
  <c r="U12" i="1"/>
  <c r="U50" i="1"/>
  <c r="U14" i="1"/>
  <c r="T11" i="1"/>
  <c r="AD13" i="1"/>
  <c r="AD17" i="1"/>
  <c r="N50" i="1"/>
  <c r="N14" i="1"/>
  <c r="N11" i="1"/>
  <c r="N17" i="1"/>
  <c r="N15" i="1"/>
  <c r="N12" i="1"/>
  <c r="N16" i="1"/>
  <c r="N13" i="1"/>
  <c r="AC11" i="1"/>
  <c r="AD11" i="1"/>
  <c r="T15" i="1"/>
  <c r="AD16" i="1"/>
  <c r="T12" i="1"/>
  <c r="S16" i="1"/>
  <c r="AE15" i="1"/>
  <c r="AE13" i="1"/>
  <c r="AE14" i="1"/>
  <c r="AE17" i="1"/>
  <c r="AE16" i="1"/>
  <c r="AE50" i="1"/>
  <c r="AE11" i="1"/>
  <c r="AC16" i="1"/>
  <c r="S14" i="1"/>
  <c r="AC15" i="1"/>
  <c r="S12" i="1"/>
  <c r="AC13" i="1"/>
  <c r="AC12" i="1"/>
  <c r="T16" i="1"/>
  <c r="AD12" i="1"/>
  <c r="S15" i="1"/>
  <c r="T14" i="1"/>
  <c r="AD15" i="1"/>
  <c r="S13" i="1"/>
  <c r="AC14" i="1"/>
  <c r="S17" i="1"/>
  <c r="X15" i="1"/>
  <c r="AF12" i="1"/>
  <c r="X14" i="1"/>
  <c r="AF17" i="1"/>
  <c r="AF50" i="1"/>
  <c r="O11" i="1"/>
  <c r="Y11" i="1"/>
  <c r="AG11" i="1"/>
  <c r="O12" i="1"/>
  <c r="Y12" i="1"/>
  <c r="AG12" i="1"/>
  <c r="O13" i="1"/>
  <c r="Y13" i="1"/>
  <c r="AG13" i="1"/>
  <c r="O14" i="1"/>
  <c r="Y14" i="1"/>
  <c r="AG14" i="1"/>
  <c r="O15" i="1"/>
  <c r="Y15" i="1"/>
  <c r="AG15" i="1"/>
  <c r="O16" i="1"/>
  <c r="Y16" i="1"/>
  <c r="AG16" i="1"/>
  <c r="O17" i="1"/>
  <c r="Y17" i="1"/>
  <c r="AG17" i="1"/>
  <c r="X11" i="1"/>
  <c r="AF13" i="1"/>
  <c r="X50" i="1"/>
  <c r="X73" i="1" s="1"/>
  <c r="X89" i="1" s="1"/>
  <c r="Y89" i="1" s="1"/>
  <c r="P11" i="1"/>
  <c r="Z11" i="1"/>
  <c r="AH11" i="1"/>
  <c r="P12" i="1"/>
  <c r="Z12" i="1"/>
  <c r="AH12" i="1"/>
  <c r="P13" i="1"/>
  <c r="Z13" i="1"/>
  <c r="AH13" i="1"/>
  <c r="P14" i="1"/>
  <c r="Z14" i="1"/>
  <c r="AH14" i="1"/>
  <c r="P15" i="1"/>
  <c r="Z15" i="1"/>
  <c r="AH15" i="1"/>
  <c r="P16" i="1"/>
  <c r="Z16" i="1"/>
  <c r="AH16" i="1"/>
  <c r="P17" i="1"/>
  <c r="Z17" i="1"/>
  <c r="AH17" i="1"/>
  <c r="X12" i="1"/>
  <c r="AF15" i="1"/>
  <c r="AF16" i="1"/>
  <c r="Q11" i="1"/>
  <c r="AA11" i="1"/>
  <c r="AI11" i="1"/>
  <c r="Q12" i="1"/>
  <c r="AA12" i="1"/>
  <c r="AI12" i="1"/>
  <c r="Q13" i="1"/>
  <c r="AA13" i="1"/>
  <c r="AI13" i="1"/>
  <c r="Q14" i="1"/>
  <c r="AA14" i="1"/>
  <c r="AI14" i="1"/>
  <c r="Q15" i="1"/>
  <c r="AA15" i="1"/>
  <c r="AI15" i="1"/>
  <c r="Q16" i="1"/>
  <c r="AA16" i="1"/>
  <c r="AI16" i="1"/>
  <c r="Q17" i="1"/>
  <c r="AA17" i="1"/>
  <c r="AI17" i="1"/>
  <c r="AF11" i="1"/>
  <c r="X13" i="1"/>
  <c r="X16" i="1"/>
  <c r="J11" i="1"/>
  <c r="R11" i="1"/>
  <c r="AB11" i="1"/>
  <c r="J12" i="1"/>
  <c r="R12" i="1"/>
  <c r="AB12" i="1"/>
  <c r="J13" i="1"/>
  <c r="R13" i="1"/>
  <c r="AB13" i="1"/>
  <c r="R14" i="1"/>
  <c r="AB14" i="1"/>
  <c r="J15" i="1"/>
  <c r="R15" i="1"/>
  <c r="AB15" i="1"/>
  <c r="J16" i="1"/>
  <c r="R16" i="1"/>
  <c r="AB16" i="1"/>
  <c r="J17" i="1"/>
  <c r="R17" i="1"/>
  <c r="AB17" i="1"/>
  <c r="AR44" i="1" l="1"/>
  <c r="AR45" i="1" s="1"/>
  <c r="AP44" i="1"/>
  <c r="AP45" i="1" s="1"/>
  <c r="AW44" i="1"/>
  <c r="AW45" i="1" s="1"/>
  <c r="AO44" i="1"/>
  <c r="AO62" i="1" s="1"/>
  <c r="AO74" i="1" s="1"/>
  <c r="AV44" i="1"/>
  <c r="AN44" i="1"/>
  <c r="AU44" i="1"/>
  <c r="AL44" i="1"/>
  <c r="AQ44" i="1"/>
  <c r="AM44" i="1"/>
  <c r="AM88" i="1"/>
  <c r="AN88" i="1" s="1"/>
  <c r="AO88" i="1" s="1"/>
  <c r="AP88" i="1" s="1"/>
  <c r="AQ88" i="1" s="1"/>
  <c r="AR88" i="1" s="1"/>
  <c r="AS88" i="1" s="1"/>
  <c r="AT88" i="1" s="1"/>
  <c r="AU88" i="1" s="1"/>
  <c r="AV88" i="1" s="1"/>
  <c r="AW88" i="1" s="1"/>
  <c r="AS44" i="1"/>
  <c r="AT44" i="1"/>
  <c r="AQ89" i="1"/>
  <c r="AR73" i="1"/>
  <c r="E8" i="2"/>
  <c r="E10" i="2" s="1"/>
  <c r="E12" i="2" s="1"/>
  <c r="I92" i="1"/>
  <c r="I93" i="1" s="1"/>
  <c r="I94" i="1" s="1"/>
  <c r="L55" i="1"/>
  <c r="L68" i="1" s="1"/>
  <c r="AE55" i="1"/>
  <c r="AE68" i="1" s="1"/>
  <c r="AE65" i="1" s="1"/>
  <c r="S55" i="1"/>
  <c r="S68" i="1" s="1"/>
  <c r="AH55" i="1"/>
  <c r="AH68" i="1" s="1"/>
  <c r="AH65" i="1" s="1"/>
  <c r="AG55" i="1"/>
  <c r="AG68" i="1" s="1"/>
  <c r="AG65" i="1" s="1"/>
  <c r="AA55" i="1"/>
  <c r="AA68" i="1" s="1"/>
  <c r="AA65" i="1" s="1"/>
  <c r="Y55" i="1"/>
  <c r="Y68" i="1" s="1"/>
  <c r="AD55" i="1"/>
  <c r="AD68" i="1" s="1"/>
  <c r="AD65" i="1" s="1"/>
  <c r="AC55" i="1"/>
  <c r="AC68" i="1" s="1"/>
  <c r="AC65" i="1" s="1"/>
  <c r="Z55" i="1"/>
  <c r="Z68" i="1" s="1"/>
  <c r="Z65" i="1" s="1"/>
  <c r="AI55" i="1"/>
  <c r="AI68" i="1" s="1"/>
  <c r="AI65" i="1" s="1"/>
  <c r="AL64" i="1" s="1"/>
  <c r="AB55" i="1"/>
  <c r="AB68" i="1" s="1"/>
  <c r="AB65" i="1" s="1"/>
  <c r="AF55" i="1"/>
  <c r="AF68" i="1" s="1"/>
  <c r="AF65" i="1" s="1"/>
  <c r="X55" i="1"/>
  <c r="X68" i="1" s="1"/>
  <c r="X65" i="1" s="1"/>
  <c r="Z89" i="1"/>
  <c r="AA73" i="1"/>
  <c r="L73" i="1"/>
  <c r="K89" i="1"/>
  <c r="R55" i="1"/>
  <c r="R68" i="1" s="1"/>
  <c r="J55" i="1"/>
  <c r="J68" i="1" s="1"/>
  <c r="J65" i="1" s="1"/>
  <c r="J64" i="1" s="1"/>
  <c r="O55" i="1"/>
  <c r="O68" i="1" s="1"/>
  <c r="P55" i="1"/>
  <c r="P68" i="1" s="1"/>
  <c r="U55" i="1"/>
  <c r="U68" i="1" s="1"/>
  <c r="U65" i="1" s="1"/>
  <c r="K55" i="1"/>
  <c r="K68" i="1" s="1"/>
  <c r="Q55" i="1"/>
  <c r="Q68" i="1" s="1"/>
  <c r="N55" i="1"/>
  <c r="N68" i="1" s="1"/>
  <c r="T55" i="1"/>
  <c r="T68" i="1" s="1"/>
  <c r="M55" i="1"/>
  <c r="M68" i="1" s="1"/>
  <c r="J10" i="1"/>
  <c r="J19" i="1" s="1"/>
  <c r="J34" i="1" s="1"/>
  <c r="S10" i="1"/>
  <c r="AG10" i="1"/>
  <c r="AG19" i="1" s="1"/>
  <c r="AG34" i="1" s="1"/>
  <c r="AD10" i="1"/>
  <c r="AD19" i="1" s="1"/>
  <c r="AD34" i="1" s="1"/>
  <c r="L10" i="1"/>
  <c r="X10" i="1"/>
  <c r="X19" i="1" s="1"/>
  <c r="Q10" i="1"/>
  <c r="AE10" i="1"/>
  <c r="AE19" i="1" s="1"/>
  <c r="U10" i="1"/>
  <c r="K10" i="1"/>
  <c r="Y10" i="1"/>
  <c r="Y19" i="1" s="1"/>
  <c r="AA10" i="1"/>
  <c r="AA19" i="1" s="1"/>
  <c r="AH10" i="1"/>
  <c r="AH19" i="1" s="1"/>
  <c r="AF10" i="1"/>
  <c r="AF19" i="1" s="1"/>
  <c r="Z10" i="1"/>
  <c r="Z19" i="1" s="1"/>
  <c r="T10" i="1"/>
  <c r="AC10" i="1"/>
  <c r="AC19" i="1" s="1"/>
  <c r="O10" i="1"/>
  <c r="AB10" i="1"/>
  <c r="AB19" i="1" s="1"/>
  <c r="P10" i="1"/>
  <c r="M10" i="1"/>
  <c r="AI10" i="1"/>
  <c r="AI19" i="1" s="1"/>
  <c r="R10" i="1"/>
  <c r="N10" i="1"/>
  <c r="Y65" i="1" l="1"/>
  <c r="X64" i="1"/>
  <c r="AA64" i="1"/>
  <c r="AD64" i="1"/>
  <c r="AR62" i="1"/>
  <c r="AR74" i="1" s="1"/>
  <c r="AW62" i="1"/>
  <c r="AO45" i="1"/>
  <c r="AP62" i="1"/>
  <c r="AP74" i="1" s="1"/>
  <c r="AP78" i="1" s="1"/>
  <c r="AO78" i="1"/>
  <c r="AQ62" i="1"/>
  <c r="AQ74" i="1" s="1"/>
  <c r="AQ45" i="1"/>
  <c r="AS45" i="1"/>
  <c r="AS62" i="1"/>
  <c r="AR89" i="1"/>
  <c r="AS73" i="1"/>
  <c r="AU45" i="1"/>
  <c r="AU62" i="1"/>
  <c r="AM45" i="1"/>
  <c r="AM62" i="1"/>
  <c r="AM74" i="1" s="1"/>
  <c r="AV62" i="1"/>
  <c r="AV45" i="1"/>
  <c r="AT45" i="1"/>
  <c r="AT62" i="1"/>
  <c r="AL45" i="1"/>
  <c r="AL62" i="1"/>
  <c r="AL74" i="1" s="1"/>
  <c r="AN62" i="1"/>
  <c r="AN74" i="1" s="1"/>
  <c r="AN45" i="1"/>
  <c r="AF64" i="1"/>
  <c r="AC64" i="1"/>
  <c r="AI64" i="1"/>
  <c r="AG64" i="1"/>
  <c r="AB64" i="1"/>
  <c r="AH64" i="1"/>
  <c r="AE64" i="1"/>
  <c r="AA89" i="1"/>
  <c r="AB73" i="1"/>
  <c r="M73" i="1"/>
  <c r="L89" i="1"/>
  <c r="J20" i="1"/>
  <c r="AG20" i="1"/>
  <c r="AD20" i="1"/>
  <c r="U19" i="1"/>
  <c r="U20" i="1" s="1"/>
  <c r="M19" i="1"/>
  <c r="M20" i="1" s="1"/>
  <c r="M65" i="1"/>
  <c r="Q19" i="1"/>
  <c r="Q34" i="1" s="1"/>
  <c r="Q65" i="1"/>
  <c r="R19" i="1"/>
  <c r="R20" i="1" s="1"/>
  <c r="R65" i="1"/>
  <c r="T19" i="1"/>
  <c r="T20" i="1" s="1"/>
  <c r="T65" i="1"/>
  <c r="P19" i="1"/>
  <c r="P20" i="1" s="1"/>
  <c r="P65" i="1"/>
  <c r="O19" i="1"/>
  <c r="O34" i="1" s="1"/>
  <c r="O65" i="1"/>
  <c r="S19" i="1"/>
  <c r="S65" i="1"/>
  <c r="N19" i="1"/>
  <c r="N34" i="1" s="1"/>
  <c r="N65" i="1"/>
  <c r="AB34" i="1"/>
  <c r="AB20" i="1"/>
  <c r="X34" i="1"/>
  <c r="X20" i="1"/>
  <c r="AA34" i="1"/>
  <c r="AA20" i="1"/>
  <c r="AC34" i="1"/>
  <c r="AC20" i="1"/>
  <c r="Y34" i="1"/>
  <c r="Y20" i="1"/>
  <c r="K65" i="1"/>
  <c r="K64" i="1" s="1"/>
  <c r="K19" i="1"/>
  <c r="J39" i="1"/>
  <c r="J35" i="1"/>
  <c r="AD39" i="1"/>
  <c r="AD35" i="1"/>
  <c r="AG39" i="1"/>
  <c r="AG35" i="1"/>
  <c r="AF20" i="1"/>
  <c r="AF34" i="1"/>
  <c r="AH34" i="1"/>
  <c r="AH20" i="1"/>
  <c r="L65" i="1"/>
  <c r="L19" i="1"/>
  <c r="AI34" i="1"/>
  <c r="AI20" i="1"/>
  <c r="Z34" i="1"/>
  <c r="Z20" i="1"/>
  <c r="AE20" i="1"/>
  <c r="AE34" i="1"/>
  <c r="Y64" i="1" l="1"/>
  <c r="Z64" i="1"/>
  <c r="AN78" i="1"/>
  <c r="AQ78" i="1"/>
  <c r="AL78" i="1"/>
  <c r="AS89" i="1"/>
  <c r="AT73" i="1"/>
  <c r="AT74" i="1" s="1"/>
  <c r="AM78" i="1"/>
  <c r="AR78" i="1"/>
  <c r="AS74" i="1"/>
  <c r="AC73" i="1"/>
  <c r="AB89" i="1"/>
  <c r="P34" i="1"/>
  <c r="T34" i="1"/>
  <c r="T35" i="1" s="1"/>
  <c r="N20" i="1"/>
  <c r="N73" i="1"/>
  <c r="M89" i="1"/>
  <c r="Q64" i="1"/>
  <c r="S64" i="1"/>
  <c r="U34" i="1"/>
  <c r="U39" i="1" s="1"/>
  <c r="Q20" i="1"/>
  <c r="O20" i="1"/>
  <c r="R64" i="1"/>
  <c r="R34" i="1"/>
  <c r="N64" i="1"/>
  <c r="O64" i="1"/>
  <c r="S34" i="1"/>
  <c r="S20" i="1"/>
  <c r="P64" i="1"/>
  <c r="U64" i="1"/>
  <c r="M34" i="1"/>
  <c r="M39" i="1" s="1"/>
  <c r="T64" i="1"/>
  <c r="L64" i="1"/>
  <c r="M64" i="1"/>
  <c r="Y39" i="1"/>
  <c r="Y35" i="1"/>
  <c r="AG42" i="1"/>
  <c r="AG40" i="1"/>
  <c r="AB39" i="1"/>
  <c r="AB35" i="1"/>
  <c r="X35" i="1"/>
  <c r="X39" i="1"/>
  <c r="AE39" i="1"/>
  <c r="AE35" i="1"/>
  <c r="AI39" i="1"/>
  <c r="AI35" i="1"/>
  <c r="N39" i="1"/>
  <c r="N35" i="1"/>
  <c r="AC39" i="1"/>
  <c r="AC35" i="1"/>
  <c r="L34" i="1"/>
  <c r="L20" i="1"/>
  <c r="J42" i="1"/>
  <c r="J72" i="1" s="1"/>
  <c r="J88" i="1" s="1"/>
  <c r="J40" i="1"/>
  <c r="K34" i="1"/>
  <c r="K20" i="1"/>
  <c r="AH39" i="1"/>
  <c r="AH35" i="1"/>
  <c r="AD42" i="1"/>
  <c r="AD40" i="1"/>
  <c r="AA39" i="1"/>
  <c r="AA35" i="1"/>
  <c r="Q39" i="1"/>
  <c r="Q35" i="1"/>
  <c r="Z39" i="1"/>
  <c r="Z35" i="1"/>
  <c r="O39" i="1"/>
  <c r="O35" i="1"/>
  <c r="AF35" i="1"/>
  <c r="AF39" i="1"/>
  <c r="T39" i="1" l="1"/>
  <c r="T42" i="1" s="1"/>
  <c r="T72" i="1" s="1"/>
  <c r="AS78" i="1"/>
  <c r="AT78" i="1"/>
  <c r="AU73" i="1"/>
  <c r="AT89" i="1"/>
  <c r="U35" i="1"/>
  <c r="AD44" i="1"/>
  <c r="AD72" i="1"/>
  <c r="P39" i="1"/>
  <c r="P42" i="1" s="1"/>
  <c r="P72" i="1" s="1"/>
  <c r="AG44" i="1"/>
  <c r="AG72" i="1"/>
  <c r="P35" i="1"/>
  <c r="AD73" i="1"/>
  <c r="AC89" i="1"/>
  <c r="O73" i="1"/>
  <c r="N89" i="1"/>
  <c r="R35" i="1"/>
  <c r="R39" i="1"/>
  <c r="R40" i="1" s="1"/>
  <c r="M35" i="1"/>
  <c r="S39" i="1"/>
  <c r="S35" i="1"/>
  <c r="AC42" i="1"/>
  <c r="AC40" i="1"/>
  <c r="AB42" i="1"/>
  <c r="AB40" i="1"/>
  <c r="J44" i="1"/>
  <c r="AF42" i="1"/>
  <c r="AF40" i="1"/>
  <c r="M42" i="1"/>
  <c r="M72" i="1" s="1"/>
  <c r="M40" i="1"/>
  <c r="AA42" i="1"/>
  <c r="AA40" i="1"/>
  <c r="AE42" i="1"/>
  <c r="AE40" i="1"/>
  <c r="Q42" i="1"/>
  <c r="Q72" i="1" s="1"/>
  <c r="Q40" i="1"/>
  <c r="AH42" i="1"/>
  <c r="AH40" i="1"/>
  <c r="U42" i="1"/>
  <c r="U72" i="1" s="1"/>
  <c r="U40" i="1"/>
  <c r="N40" i="1"/>
  <c r="N42" i="1"/>
  <c r="N72" i="1" s="1"/>
  <c r="X42" i="1"/>
  <c r="X40" i="1"/>
  <c r="Z42" i="1"/>
  <c r="Z40" i="1"/>
  <c r="Y42" i="1"/>
  <c r="Y40" i="1"/>
  <c r="O42" i="1"/>
  <c r="O72" i="1" s="1"/>
  <c r="O40" i="1"/>
  <c r="K39" i="1"/>
  <c r="K35" i="1"/>
  <c r="L39" i="1"/>
  <c r="L35" i="1"/>
  <c r="AI42" i="1"/>
  <c r="AI40" i="1"/>
  <c r="T40" i="1" l="1"/>
  <c r="P40" i="1"/>
  <c r="AU89" i="1"/>
  <c r="AV73" i="1"/>
  <c r="AU74" i="1"/>
  <c r="X44" i="1"/>
  <c r="X72" i="1"/>
  <c r="X88" i="1" s="1"/>
  <c r="AC44" i="1"/>
  <c r="AC72" i="1"/>
  <c r="AG45" i="1"/>
  <c r="AG62" i="1"/>
  <c r="AI44" i="1"/>
  <c r="AI72" i="1"/>
  <c r="AF44" i="1"/>
  <c r="AF72" i="1"/>
  <c r="AH44" i="1"/>
  <c r="AH72" i="1"/>
  <c r="AD45" i="1"/>
  <c r="AD62" i="1"/>
  <c r="AD74" i="1" s="1"/>
  <c r="Y44" i="1"/>
  <c r="Y72" i="1"/>
  <c r="AE44" i="1"/>
  <c r="AE72" i="1"/>
  <c r="Z44" i="1"/>
  <c r="Z72" i="1"/>
  <c r="AA44" i="1"/>
  <c r="AA72" i="1"/>
  <c r="AB44" i="1"/>
  <c r="AB72" i="1"/>
  <c r="AE73" i="1"/>
  <c r="AD89" i="1"/>
  <c r="R42" i="1"/>
  <c r="R72" i="1" s="1"/>
  <c r="P73" i="1"/>
  <c r="O89" i="1"/>
  <c r="Q44" i="1"/>
  <c r="Q62" i="1" s="1"/>
  <c r="U44" i="1"/>
  <c r="U62" i="1" s="1"/>
  <c r="P44" i="1"/>
  <c r="P62" i="1" s="1"/>
  <c r="N44" i="1"/>
  <c r="N62" i="1" s="1"/>
  <c r="O44" i="1"/>
  <c r="O62" i="1" s="1"/>
  <c r="T44" i="1"/>
  <c r="T62" i="1" s="1"/>
  <c r="M44" i="1"/>
  <c r="M62" i="1" s="1"/>
  <c r="S40" i="1"/>
  <c r="S42" i="1"/>
  <c r="S72" i="1" s="1"/>
  <c r="K42" i="1"/>
  <c r="K40" i="1"/>
  <c r="L42" i="1"/>
  <c r="L40" i="1"/>
  <c r="J62" i="1"/>
  <c r="J45" i="1"/>
  <c r="AV89" i="1" l="1"/>
  <c r="AW73" i="1"/>
  <c r="AV74" i="1"/>
  <c r="AU78" i="1"/>
  <c r="Y88" i="1"/>
  <c r="Z88" i="1" s="1"/>
  <c r="AA88" i="1" s="1"/>
  <c r="AB88" i="1" s="1"/>
  <c r="AC88" i="1" s="1"/>
  <c r="AD88" i="1" s="1"/>
  <c r="AE88" i="1" s="1"/>
  <c r="AF88" i="1" s="1"/>
  <c r="AG88" i="1" s="1"/>
  <c r="AH88" i="1" s="1"/>
  <c r="AI88" i="1" s="1"/>
  <c r="U45" i="1"/>
  <c r="J74" i="1"/>
  <c r="J78" i="1" s="1"/>
  <c r="R44" i="1"/>
  <c r="R45" i="1" s="1"/>
  <c r="AA45" i="1"/>
  <c r="AA62" i="1"/>
  <c r="AA74" i="1" s="1"/>
  <c r="AA78" i="1" s="1"/>
  <c r="Z45" i="1"/>
  <c r="Z62" i="1"/>
  <c r="Z74" i="1" s="1"/>
  <c r="Z78" i="1" s="1"/>
  <c r="AH45" i="1"/>
  <c r="AH62" i="1"/>
  <c r="AC45" i="1"/>
  <c r="AC62" i="1"/>
  <c r="AC74" i="1" s="1"/>
  <c r="AC78" i="1" s="1"/>
  <c r="Y45" i="1"/>
  <c r="Y62" i="1"/>
  <c r="Y74" i="1" s="1"/>
  <c r="Y78" i="1" s="1"/>
  <c r="AB45" i="1"/>
  <c r="AB62" i="1"/>
  <c r="AB74" i="1" s="1"/>
  <c r="AB78" i="1" s="1"/>
  <c r="AI45" i="1"/>
  <c r="AI62" i="1"/>
  <c r="AE45" i="1"/>
  <c r="AE62" i="1"/>
  <c r="AE74" i="1" s="1"/>
  <c r="AF45" i="1"/>
  <c r="AF62" i="1"/>
  <c r="X45" i="1"/>
  <c r="X62" i="1"/>
  <c r="AD78" i="1"/>
  <c r="AE89" i="1"/>
  <c r="AF73" i="1"/>
  <c r="O45" i="1"/>
  <c r="N45" i="1"/>
  <c r="Q73" i="1"/>
  <c r="Q74" i="1" s="1"/>
  <c r="Q78" i="1" s="1"/>
  <c r="P89" i="1"/>
  <c r="Q45" i="1"/>
  <c r="N74" i="1"/>
  <c r="N78" i="1" s="1"/>
  <c r="O74" i="1"/>
  <c r="O78" i="1" s="1"/>
  <c r="P74" i="1"/>
  <c r="M74" i="1"/>
  <c r="M78" i="1" s="1"/>
  <c r="M45" i="1"/>
  <c r="L44" i="1"/>
  <c r="L62" i="1" s="1"/>
  <c r="L72" i="1"/>
  <c r="P45" i="1"/>
  <c r="S44" i="1"/>
  <c r="S62" i="1" s="1"/>
  <c r="T45" i="1"/>
  <c r="K44" i="1"/>
  <c r="K62" i="1" s="1"/>
  <c r="K72" i="1"/>
  <c r="K88" i="1" s="1"/>
  <c r="J79" i="1" l="1"/>
  <c r="J80" i="1" s="1"/>
  <c r="AO82" i="1"/>
  <c r="AP77" i="1" s="1"/>
  <c r="AP79" i="1" s="1"/>
  <c r="AV78" i="1"/>
  <c r="AW89" i="1"/>
  <c r="AW74" i="1"/>
  <c r="R62" i="1"/>
  <c r="F7" i="2" s="1"/>
  <c r="X74" i="1"/>
  <c r="X78" i="1" s="1"/>
  <c r="G7" i="2"/>
  <c r="H7" i="2" s="1"/>
  <c r="I7" i="2" s="1"/>
  <c r="J7" i="2" s="1"/>
  <c r="K7" i="2" s="1"/>
  <c r="L7" i="2" s="1"/>
  <c r="M7" i="2" s="1"/>
  <c r="N7" i="2" s="1"/>
  <c r="O7" i="2" s="1"/>
  <c r="P7" i="2" s="1"/>
  <c r="P8" i="2" s="1"/>
  <c r="O9" i="2" s="1"/>
  <c r="L88" i="1"/>
  <c r="M88" i="1" s="1"/>
  <c r="N88" i="1" s="1"/>
  <c r="O88" i="1" s="1"/>
  <c r="P88" i="1" s="1"/>
  <c r="Q88" i="1" s="1"/>
  <c r="R88" i="1" s="1"/>
  <c r="S88" i="1" s="1"/>
  <c r="T88" i="1" s="1"/>
  <c r="U88" i="1" s="1"/>
  <c r="AF89" i="1"/>
  <c r="AG73" i="1"/>
  <c r="AF74" i="1"/>
  <c r="AE78" i="1"/>
  <c r="K45" i="1"/>
  <c r="P78" i="1"/>
  <c r="L74" i="1"/>
  <c r="L78" i="1" s="1"/>
  <c r="S45" i="1"/>
  <c r="L45" i="1"/>
  <c r="K74" i="1"/>
  <c r="R73" i="1"/>
  <c r="Q89" i="1"/>
  <c r="AP80" i="1" l="1"/>
  <c r="AP82" i="1" s="1"/>
  <c r="AW82" i="1"/>
  <c r="AW78" i="1"/>
  <c r="R74" i="1"/>
  <c r="R78" i="1" s="1"/>
  <c r="AF78" i="1"/>
  <c r="AG89" i="1"/>
  <c r="AH73" i="1"/>
  <c r="AG74" i="1"/>
  <c r="J82" i="1"/>
  <c r="K77" i="1" s="1"/>
  <c r="K79" i="1" s="1"/>
  <c r="K78" i="1"/>
  <c r="S73" i="1"/>
  <c r="R89" i="1"/>
  <c r="AQ77" i="1" l="1"/>
  <c r="AQ79" i="1" s="1"/>
  <c r="AP83" i="1"/>
  <c r="AP84" i="1" s="1"/>
  <c r="AG78" i="1"/>
  <c r="AH89" i="1"/>
  <c r="AI73" i="1"/>
  <c r="AH74" i="1"/>
  <c r="J83" i="1"/>
  <c r="K80" i="1"/>
  <c r="K82" i="1" s="1"/>
  <c r="T73" i="1"/>
  <c r="S89" i="1"/>
  <c r="S74" i="1"/>
  <c r="S78" i="1" s="1"/>
  <c r="J84" i="1" l="1"/>
  <c r="J92" i="1"/>
  <c r="AQ80" i="1"/>
  <c r="AQ82" i="1" s="1"/>
  <c r="AR77" i="1" s="1"/>
  <c r="AR79" i="1" s="1"/>
  <c r="AH78" i="1"/>
  <c r="AI89" i="1"/>
  <c r="AI74" i="1"/>
  <c r="K83" i="1"/>
  <c r="K84" i="1" s="1"/>
  <c r="L77" i="1"/>
  <c r="L79" i="1" s="1"/>
  <c r="L80" i="1" s="1"/>
  <c r="L82" i="1" s="1"/>
  <c r="U73" i="1"/>
  <c r="T89" i="1"/>
  <c r="T74" i="1"/>
  <c r="J93" i="1" l="1"/>
  <c r="K92" i="1"/>
  <c r="AR80" i="1"/>
  <c r="AR82" i="1" s="1"/>
  <c r="AS77" i="1" s="1"/>
  <c r="AS79" i="1" s="1"/>
  <c r="AQ83" i="1"/>
  <c r="AI82" i="1"/>
  <c r="AL77" i="1" s="1"/>
  <c r="AL79" i="1" s="1"/>
  <c r="AI78" i="1"/>
  <c r="T78" i="1"/>
  <c r="M77" i="1"/>
  <c r="M79" i="1" s="1"/>
  <c r="U89" i="1"/>
  <c r="U74" i="1"/>
  <c r="U78" i="1" s="1"/>
  <c r="AL80" i="1" l="1"/>
  <c r="AL82" i="1" s="1"/>
  <c r="AM77" i="1" s="1"/>
  <c r="AM79" i="1" s="1"/>
  <c r="K93" i="1"/>
  <c r="K94" i="1" s="1"/>
  <c r="J94" i="1"/>
  <c r="AS80" i="1"/>
  <c r="AS82" i="1" s="1"/>
  <c r="AQ84" i="1"/>
  <c r="M80" i="1"/>
  <c r="M82" i="1" s="1"/>
  <c r="L83" i="1"/>
  <c r="L84" i="1" s="1"/>
  <c r="AL83" i="1" l="1"/>
  <c r="AL84" i="1" s="1"/>
  <c r="L92" i="1"/>
  <c r="AM80" i="1"/>
  <c r="AM82" i="1" s="1"/>
  <c r="AN77" i="1" s="1"/>
  <c r="AN79" i="1" s="1"/>
  <c r="AT77" i="1"/>
  <c r="AT79" i="1" s="1"/>
  <c r="AS83" i="1"/>
  <c r="N77" i="1"/>
  <c r="N79" i="1" s="1"/>
  <c r="M83" i="1"/>
  <c r="M84" i="1" s="1"/>
  <c r="AN80" i="1" l="1"/>
  <c r="AN82" i="1" s="1"/>
  <c r="AO77" i="1" s="1"/>
  <c r="AO79" i="1" s="1"/>
  <c r="M92" i="1"/>
  <c r="L93" i="1"/>
  <c r="AM83" i="1"/>
  <c r="AM84" i="1" s="1"/>
  <c r="AS84" i="1"/>
  <c r="AT80" i="1"/>
  <c r="AT82" i="1" s="1"/>
  <c r="N80" i="1"/>
  <c r="N82" i="1" s="1"/>
  <c r="AN83" i="1" l="1"/>
  <c r="AN84" i="1" s="1"/>
  <c r="L94" i="1"/>
  <c r="M93" i="1"/>
  <c r="AO80" i="1"/>
  <c r="AO83" i="1"/>
  <c r="AO84" i="1" s="1"/>
  <c r="AU77" i="1"/>
  <c r="AU79" i="1" s="1"/>
  <c r="AT83" i="1"/>
  <c r="AT84" i="1" s="1"/>
  <c r="O77" i="1"/>
  <c r="O79" i="1" s="1"/>
  <c r="N83" i="1"/>
  <c r="N84" i="1" s="1"/>
  <c r="N92" i="1" l="1"/>
  <c r="M94" i="1"/>
  <c r="AU80" i="1"/>
  <c r="AU82" i="1" s="1"/>
  <c r="O80" i="1"/>
  <c r="O82" i="1" s="1"/>
  <c r="N93" i="1" l="1"/>
  <c r="AV77" i="1"/>
  <c r="AV79" i="1" s="1"/>
  <c r="AU83" i="1"/>
  <c r="P77" i="1"/>
  <c r="P79" i="1" s="1"/>
  <c r="O83" i="1"/>
  <c r="O84" i="1" s="1"/>
  <c r="O92" i="1" l="1"/>
  <c r="O93" i="1" s="1"/>
  <c r="N94" i="1"/>
  <c r="AU84" i="1"/>
  <c r="AV80" i="1"/>
  <c r="AV82" i="1" s="1"/>
  <c r="AW77" i="1" s="1"/>
  <c r="AW79" i="1" s="1"/>
  <c r="P80" i="1"/>
  <c r="P82" i="1" s="1"/>
  <c r="Q77" i="1" s="1"/>
  <c r="Q79" i="1" s="1"/>
  <c r="P83" i="1" l="1"/>
  <c r="P84" i="1" s="1"/>
  <c r="O94" i="1"/>
  <c r="AV83" i="1"/>
  <c r="AW80" i="1"/>
  <c r="AW83" i="1"/>
  <c r="AW84" i="1" s="1"/>
  <c r="Q80" i="1"/>
  <c r="Q82" i="1" s="1"/>
  <c r="R77" i="1" s="1"/>
  <c r="R79" i="1" s="1"/>
  <c r="P92" i="1" l="1"/>
  <c r="P93" i="1" s="1"/>
  <c r="P94" i="1" s="1"/>
  <c r="AV84" i="1"/>
  <c r="Q83" i="1"/>
  <c r="R80" i="1"/>
  <c r="R82" i="1" s="1"/>
  <c r="S77" i="1" s="1"/>
  <c r="S79" i="1" s="1"/>
  <c r="Q84" i="1" l="1"/>
  <c r="Q92" i="1"/>
  <c r="S80" i="1"/>
  <c r="S82" i="1" s="1"/>
  <c r="T77" i="1" s="1"/>
  <c r="T79" i="1" s="1"/>
  <c r="R83" i="1"/>
  <c r="R84" i="1" s="1"/>
  <c r="R92" i="1" l="1"/>
  <c r="Q93" i="1"/>
  <c r="S83" i="1"/>
  <c r="S84" i="1" s="1"/>
  <c r="T80" i="1"/>
  <c r="T82" i="1" s="1"/>
  <c r="Q94" i="1" l="1"/>
  <c r="S92" i="1"/>
  <c r="R93" i="1"/>
  <c r="U77" i="1"/>
  <c r="U79" i="1" s="1"/>
  <c r="T83" i="1"/>
  <c r="T84" i="1" s="1"/>
  <c r="T92" i="1" l="1"/>
  <c r="S93" i="1"/>
  <c r="S94" i="1" s="1"/>
  <c r="R94" i="1"/>
  <c r="U80" i="1"/>
  <c r="U82" i="1" s="1"/>
  <c r="X77" i="1" s="1"/>
  <c r="X79" i="1" s="1"/>
  <c r="T93" i="1" l="1"/>
  <c r="U83" i="1"/>
  <c r="U92" i="1" s="1"/>
  <c r="X80" i="1"/>
  <c r="X82" i="1" s="1"/>
  <c r="Y77" i="1" s="1"/>
  <c r="Y79" i="1" s="1"/>
  <c r="U93" i="1" l="1"/>
  <c r="U94" i="1" s="1"/>
  <c r="T94" i="1"/>
  <c r="X83" i="1"/>
  <c r="X84" i="1" s="1"/>
  <c r="Y80" i="1"/>
  <c r="Y82" i="1" s="1"/>
  <c r="Z77" i="1" s="1"/>
  <c r="Z79" i="1" s="1"/>
  <c r="U84" i="1"/>
  <c r="F8" i="2"/>
  <c r="F10" i="2" s="1"/>
  <c r="F12" i="2" s="1"/>
  <c r="X92" i="1" l="1"/>
  <c r="Y83" i="1"/>
  <c r="Y84" i="1" s="1"/>
  <c r="Z80" i="1"/>
  <c r="Z82" i="1" s="1"/>
  <c r="AA77" i="1" s="1"/>
  <c r="AA79" i="1" s="1"/>
  <c r="Y92" i="1" l="1"/>
  <c r="X93" i="1"/>
  <c r="Z83" i="1"/>
  <c r="Z84" i="1" s="1"/>
  <c r="AA80" i="1"/>
  <c r="AA82" i="1" s="1"/>
  <c r="AB77" i="1" s="1"/>
  <c r="AB79" i="1" s="1"/>
  <c r="X94" i="1" l="1"/>
  <c r="Y93" i="1"/>
  <c r="Z92" i="1"/>
  <c r="AA83" i="1"/>
  <c r="AA84" i="1" s="1"/>
  <c r="AB80" i="1"/>
  <c r="AB82" i="1" s="1"/>
  <c r="AC77" i="1" s="1"/>
  <c r="AC79" i="1" s="1"/>
  <c r="AA92" i="1" l="1"/>
  <c r="Z93" i="1"/>
  <c r="Z94" i="1" s="1"/>
  <c r="Y94" i="1"/>
  <c r="AB83" i="1"/>
  <c r="AB84" i="1" s="1"/>
  <c r="AC80" i="1"/>
  <c r="AC82" i="1" s="1"/>
  <c r="AD77" i="1" s="1"/>
  <c r="AD79" i="1" s="1"/>
  <c r="AB92" i="1" l="1"/>
  <c r="AA93" i="1"/>
  <c r="AD80" i="1"/>
  <c r="AD82" i="1" s="1"/>
  <c r="AE77" i="1" s="1"/>
  <c r="AE79" i="1" s="1"/>
  <c r="AC83" i="1"/>
  <c r="AC84" i="1" s="1"/>
  <c r="AC92" i="1" l="1"/>
  <c r="AB93" i="1"/>
  <c r="AB94" i="1" s="1"/>
  <c r="AA94" i="1"/>
  <c r="AE80" i="1"/>
  <c r="AE82" i="1" s="1"/>
  <c r="AF77" i="1" s="1"/>
  <c r="AF79" i="1" s="1"/>
  <c r="AD92" i="1" l="1"/>
  <c r="AC93" i="1"/>
  <c r="AE83" i="1"/>
  <c r="AE84" i="1" s="1"/>
  <c r="AF80" i="1"/>
  <c r="AF82" i="1" s="1"/>
  <c r="AE92" i="1" l="1"/>
  <c r="AD93" i="1"/>
  <c r="AD94" i="1" s="1"/>
  <c r="AC94" i="1"/>
  <c r="AG77" i="1"/>
  <c r="AG79" i="1" s="1"/>
  <c r="AG80" i="1" s="1"/>
  <c r="AG82" i="1" s="1"/>
  <c r="AH77" i="1" s="1"/>
  <c r="AH79" i="1" s="1"/>
  <c r="AF83" i="1"/>
  <c r="AF84" i="1" s="1"/>
  <c r="AF92" i="1" l="1"/>
  <c r="AE93" i="1"/>
  <c r="AG83" i="1"/>
  <c r="AG84" i="1" s="1"/>
  <c r="AH80" i="1"/>
  <c r="AH82" i="1" s="1"/>
  <c r="AI77" i="1" s="1"/>
  <c r="AI79" i="1" s="1"/>
  <c r="AG92" i="1" l="1"/>
  <c r="AF93" i="1"/>
  <c r="AE94" i="1"/>
  <c r="AH83" i="1"/>
  <c r="AH84" i="1" s="1"/>
  <c r="AI83" i="1"/>
  <c r="AI80" i="1"/>
  <c r="AH92" i="1" l="1"/>
  <c r="AG93" i="1"/>
  <c r="AF94" i="1"/>
  <c r="AI84" i="1"/>
  <c r="G8" i="2"/>
  <c r="AI92" i="1" l="1"/>
  <c r="AH93" i="1"/>
  <c r="AH94" i="1" s="1"/>
  <c r="AG94" i="1"/>
  <c r="H8" i="2"/>
  <c r="G10" i="2"/>
  <c r="AI93" i="1" l="1"/>
  <c r="AL92" i="1"/>
  <c r="G12" i="2"/>
  <c r="H10" i="2"/>
  <c r="H12" i="2" s="1"/>
  <c r="I8" i="2"/>
  <c r="AL93" i="1" l="1"/>
  <c r="AM92" i="1"/>
  <c r="AI94" i="1"/>
  <c r="J8" i="2"/>
  <c r="I10" i="2"/>
  <c r="AN92" i="1" l="1"/>
  <c r="AM93" i="1"/>
  <c r="AL94" i="1"/>
  <c r="I12" i="2"/>
  <c r="J10" i="2"/>
  <c r="J12" i="2" s="1"/>
  <c r="K8" i="2"/>
  <c r="AN93" i="1" l="1"/>
  <c r="AO92" i="1"/>
  <c r="AM94" i="1"/>
  <c r="K10" i="2"/>
  <c r="K12" i="2" s="1"/>
  <c r="L8" i="2"/>
  <c r="AO93" i="1" l="1"/>
  <c r="AP92" i="1"/>
  <c r="AN94" i="1"/>
  <c r="M8" i="2"/>
  <c r="L10" i="2"/>
  <c r="L12" i="2" s="1"/>
  <c r="AP93" i="1" l="1"/>
  <c r="AQ92" i="1"/>
  <c r="AO94" i="1"/>
  <c r="M10" i="2"/>
  <c r="N8" i="2"/>
  <c r="AR92" i="1" l="1"/>
  <c r="AQ93" i="1"/>
  <c r="AP94" i="1"/>
  <c r="O8" i="2"/>
  <c r="O10" i="2" s="1"/>
  <c r="O12" i="2" s="1"/>
  <c r="N10" i="2"/>
  <c r="N12" i="2" s="1"/>
  <c r="M12" i="2"/>
  <c r="C16" i="2" l="1"/>
  <c r="C34" i="1" s="1"/>
  <c r="AR93" i="1"/>
  <c r="AS92" i="1"/>
  <c r="AQ94" i="1"/>
  <c r="C14" i="2"/>
  <c r="AS93" i="1" l="1"/>
  <c r="AS94" i="1" s="1"/>
  <c r="AT92" i="1"/>
  <c r="AR94" i="1"/>
  <c r="C35" i="1"/>
  <c r="G103" i="1" l="1"/>
  <c r="P103" i="1"/>
  <c r="AT93" i="1"/>
  <c r="AT94" i="1" s="1"/>
  <c r="AU92" i="1"/>
  <c r="AU93" i="1" l="1"/>
  <c r="AU94" i="1" s="1"/>
  <c r="AV92" i="1"/>
  <c r="AW92" i="1" l="1"/>
  <c r="AW93" i="1" s="1"/>
  <c r="AV93" i="1"/>
  <c r="AW94" i="1" l="1"/>
  <c r="AV94" i="1"/>
  <c r="C43" i="1" s="1"/>
</calcChain>
</file>

<file path=xl/sharedStrings.xml><?xml version="1.0" encoding="utf-8"?>
<sst xmlns="http://schemas.openxmlformats.org/spreadsheetml/2006/main" count="371" uniqueCount="202">
  <si>
    <t>AÑO 1</t>
  </si>
  <si>
    <t>AÑO 2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</si>
  <si>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</si>
  <si>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</si>
  <si>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</si>
  <si>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</si>
  <si>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</si>
  <si>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</si>
  <si>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</si>
  <si>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</si>
  <si>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</si>
  <si>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</si>
  <si>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</si>
  <si>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</si>
  <si>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Ventas</t>
  </si>
  <si>
    <t>Ticket Promedio</t>
  </si>
  <si>
    <t>Cubiertos</t>
  </si>
  <si>
    <t>Ramp - up</t>
  </si>
  <si>
    <t>Porcentaje CMV</t>
  </si>
  <si>
    <t>Costo Delivery</t>
  </si>
  <si>
    <t>Costos Variables</t>
  </si>
  <si>
    <t>Costo de mercadería</t>
  </si>
  <si>
    <t>Gastos Adición</t>
  </si>
  <si>
    <t>Costo delivery</t>
  </si>
  <si>
    <t>Gastos adición</t>
  </si>
  <si>
    <t>Com. / Impuestos</t>
  </si>
  <si>
    <t>Mantenimiento</t>
  </si>
  <si>
    <t>Marketing</t>
  </si>
  <si>
    <t>Bazar</t>
  </si>
  <si>
    <t>Inversión</t>
  </si>
  <si>
    <t>Márgen Bruto</t>
  </si>
  <si>
    <t>ARS</t>
  </si>
  <si>
    <t>%</t>
  </si>
  <si>
    <t>Gastos Operativos</t>
  </si>
  <si>
    <t>Honorarios</t>
  </si>
  <si>
    <t>Costos Estructura</t>
  </si>
  <si>
    <t>RRHH</t>
  </si>
  <si>
    <t>Costo Locativo</t>
  </si>
  <si>
    <t>Servicios públicos</t>
  </si>
  <si>
    <t>Previsión aguinaldo</t>
  </si>
  <si>
    <t>Fondo Despidos</t>
  </si>
  <si>
    <t>Dirección Operativa</t>
  </si>
  <si>
    <t>Bruno Bonnao</t>
  </si>
  <si>
    <t>EBITDA</t>
  </si>
  <si>
    <t>Depreciaciones</t>
  </si>
  <si>
    <t>VER CUSTOMER JOURNEY + FUNNEL</t>
  </si>
  <si>
    <t>EBIT</t>
  </si>
  <si>
    <t>Impuestos</t>
  </si>
  <si>
    <t>RESULTADO NETO</t>
  </si>
  <si>
    <t>Reserva para despidos</t>
  </si>
  <si>
    <t>TC</t>
  </si>
  <si>
    <t>Dias del mes</t>
  </si>
  <si>
    <t>Cash Flow</t>
  </si>
  <si>
    <t>Unidad</t>
  </si>
  <si>
    <t>NOPAT</t>
  </si>
  <si>
    <t>USD</t>
  </si>
  <si>
    <t>+DA</t>
  </si>
  <si>
    <t>+Delta NOF</t>
  </si>
  <si>
    <t>-Inversión en NOF</t>
  </si>
  <si>
    <t>Caja necesaria</t>
  </si>
  <si>
    <t>Dias</t>
  </si>
  <si>
    <t>Clientes</t>
  </si>
  <si>
    <t>Proveedores</t>
  </si>
  <si>
    <t>-CAPEX</t>
  </si>
  <si>
    <t>-Otros A&amp;P operativos (reserva para despidos) Chequear si va DELTA</t>
  </si>
  <si>
    <t>FFL</t>
  </si>
  <si>
    <t>Requerimientos para cubrir deficit</t>
  </si>
  <si>
    <t>Excedente de caja disponible</t>
  </si>
  <si>
    <t>Excedente de caja retenido</t>
  </si>
  <si>
    <t>Caja Acumulada</t>
  </si>
  <si>
    <t>Reserva para Desp</t>
  </si>
  <si>
    <t>Prevision Aguinaldo</t>
  </si>
  <si>
    <t>Prevision Impuestos</t>
  </si>
  <si>
    <t>INPUTS PARA NOF</t>
  </si>
  <si>
    <t>Caja Necesaria</t>
  </si>
  <si>
    <t>Acumulado Aguinaldo</t>
  </si>
  <si>
    <t>Hasta que monto previsionamos?</t>
  </si>
  <si>
    <t>APORTES NECESARIOS</t>
  </si>
  <si>
    <t>Se Reparte Dividendos este mes?</t>
  </si>
  <si>
    <t>NO</t>
  </si>
  <si>
    <t>Si</t>
  </si>
  <si>
    <t>No</t>
  </si>
  <si>
    <t>FFL to Equity</t>
  </si>
  <si>
    <t>Año 0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</si>
  <si>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</si>
  <si>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</si>
  <si>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</si>
  <si>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</si>
  <si>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</si>
  <si>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</si>
  <si>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</si>
  <si>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</si>
  <si>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</si>
  <si>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</si>
  <si>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Evolución esperada del riesgo país</t>
  </si>
  <si>
    <t>Kwacc</t>
  </si>
  <si>
    <t>Año 11</t>
  </si>
  <si>
    <t>Ronic</t>
  </si>
  <si>
    <t>TRI</t>
  </si>
  <si>
    <t>g</t>
  </si>
  <si>
    <t>Valor Residual FFL</t>
  </si>
  <si>
    <t>FFL + Valor Residual</t>
  </si>
  <si>
    <t>Factor de descuento</t>
  </si>
  <si>
    <t>Valor presente de FFL + VR FFL</t>
  </si>
  <si>
    <t>VAN</t>
  </si>
  <si>
    <t>VALOR RESIDUAL</t>
  </si>
  <si>
    <t>TIR</t>
  </si>
  <si>
    <t>VALUACIÓN POR WACC</t>
  </si>
  <si>
    <t>TASAS DE DESCUENTO</t>
  </si>
  <si>
    <t>Kd</t>
  </si>
  <si>
    <t>Beta desapalancada</t>
  </si>
  <si>
    <t>Ku</t>
  </si>
  <si>
    <t>Beta re-apalancada</t>
  </si>
  <si>
    <t>Ke</t>
  </si>
  <si>
    <t>D/V</t>
  </si>
  <si>
    <t>t</t>
  </si>
  <si>
    <t>INPUTS PARA TASA DESCUENTO</t>
  </si>
  <si>
    <t>Bonos de tesoro USA - 10Y</t>
  </si>
  <si>
    <t>Beta aplancada de la industria</t>
  </si>
  <si>
    <t>Damodaran - Restaurant Dining</t>
  </si>
  <si>
    <t>D/V de la industria</t>
  </si>
  <si>
    <t>Riesgo País</t>
  </si>
  <si>
    <t>Prima de riesgo mercado</t>
  </si>
  <si>
    <t>Damodaran</t>
  </si>
  <si>
    <t>Prima de riesgo no pago de la deuda</t>
  </si>
  <si>
    <t>Risk Free Rate</t>
  </si>
  <si>
    <t>Prima de riesgo país</t>
  </si>
  <si>
    <t>JPMORGAN EMBI+</t>
  </si>
  <si>
    <t>Bu</t>
  </si>
  <si>
    <t>ERP</t>
  </si>
  <si>
    <t>Wacc</t>
  </si>
  <si>
    <t>Prima por Iliquidez</t>
  </si>
  <si>
    <t>Prima por empresa chica</t>
  </si>
  <si>
    <t>CAPEX</t>
  </si>
  <si>
    <t>CAJA Operativa</t>
  </si>
  <si>
    <t>INV. Requerida</t>
  </si>
  <si>
    <t>Precision Cubiertos</t>
  </si>
  <si>
    <t>Proyeccion Ventas</t>
  </si>
  <si>
    <t>Payback</t>
  </si>
  <si>
    <t>Sensibilidad del VAN contra Ventas y Ticket Promedio</t>
  </si>
  <si>
    <t>CASA ORTIZ</t>
  </si>
  <si>
    <t>Precision Ventas Proyectadas</t>
  </si>
  <si>
    <t>Meses</t>
  </si>
  <si>
    <t>Payback Logrado?</t>
  </si>
  <si>
    <t>Payback (meses)</t>
  </si>
  <si>
    <t>Mes de Payback</t>
  </si>
  <si>
    <t>Ver el Ramp Up de ventas</t>
  </si>
  <si>
    <t>Ver si las ventas crecen en año 2 y subsiguientes</t>
  </si>
  <si>
    <t>Ver días de caja necesaria</t>
  </si>
  <si>
    <t>Ver días de clientes</t>
  </si>
  <si>
    <t>Ver días de proveedores</t>
  </si>
  <si>
    <t>Ver comisiones / Impuestos</t>
  </si>
  <si>
    <t>En qué momento se pagan?</t>
  </si>
  <si>
    <t>Ver impueso a las ganancias</t>
  </si>
  <si>
    <t>Puse 10%, cuánto puede ser?</t>
  </si>
  <si>
    <t>Ver Ticket Promedio</t>
  </si>
  <si>
    <t>Ver Prevision para despidos</t>
  </si>
  <si>
    <t>Ver monto servicios públicos</t>
  </si>
  <si>
    <t>Ver estructura de bonos</t>
  </si>
  <si>
    <t>No hay nada puesto, cómo lo pensaron esto?</t>
  </si>
  <si>
    <t>Cuánto hay que guardar de esto?</t>
  </si>
  <si>
    <t>Ver items como inversión, bazar, etc</t>
  </si>
  <si>
    <t>Ver RRHH</t>
  </si>
  <si>
    <t xml:space="preserve">El marketing debiera ir como costo fijo. Si vendés CERO, entonces invertís cero en MKT? </t>
  </si>
  <si>
    <t>Chequear CAPEX final</t>
  </si>
  <si>
    <t>ITEM</t>
  </si>
  <si>
    <t>Inputs Gastón</t>
  </si>
  <si>
    <t>Nota Diego</t>
  </si>
  <si>
    <t>Puse ventas constantes, pero asumo que el segundo año si todo va bien hay lugar para crecer en ventas.</t>
  </si>
  <si>
    <t>Hay que ver bien cuándo entra la guita. Si hay un porcentaje de comisión de 11% en el EERR, eso es porque reciben la guita en el momento y ahí están las comisiones por ello?</t>
  </si>
  <si>
    <t>Hay que ver a cuántos días se les puede pagar a los proveedores, particularmente a los de materia prima. Los empleados y costos fijos como alquiiler asumimos son a mes vencido.</t>
  </si>
  <si>
    <t>Este item es bastante crítico. Ver análisis de sensibilidad.</t>
  </si>
  <si>
    <t>Hasta qué monto guardamos? Esto debiera ir a una cuenta remunerada en dólares.</t>
  </si>
  <si>
    <t xml:space="preserve">Está fijo en 6.800.000, debiera ser variable con actividad. Ver cómo calzan los pagos porque impacta en los primeros meses en la caja necesaria para arrancar. </t>
  </si>
  <si>
    <t>Entender cómo funciona la cantidad de gente y si hay aumento temporal durante temporada alta. Puse 60 millones para redondear. REVISAR!</t>
  </si>
  <si>
    <t>Tienen hecho esto para el CDB?</t>
  </si>
  <si>
    <t>Puse un modificador para llegar a los clientes esperados. Estaba puesto como que arranca el primer mes al palo. Lo más probable es que no arranquemos el 1 del mes, o que tarde unos meses en venir la clientela que queremos.</t>
  </si>
  <si>
    <t>Quién maneja esto? Habría que invertir más al inicio para darse a conocer.</t>
  </si>
  <si>
    <t>Revisar cada item y linea del EERR y el Cashflow</t>
  </si>
  <si>
    <t>Prevision de aguinaldos</t>
  </si>
  <si>
    <t xml:space="preserve">Debiera ir a una cuenta money market o similar. </t>
  </si>
  <si>
    <t>Prevision de impuestos</t>
  </si>
  <si>
    <t>Debiera ir a una cuenta money market o similar. En pesos o en usd? Si el dólar baja y está en usd cagamos, viceversa ganamos.</t>
  </si>
  <si>
    <t>Anticipos de ganancias</t>
  </si>
  <si>
    <t>Esto no está contemplado</t>
  </si>
  <si>
    <t>IVA</t>
  </si>
  <si>
    <t>Esto tampoco está contemplado. Entender bien el manejo de esto y como impacta.</t>
  </si>
  <si>
    <t>TIPO de cambio</t>
  </si>
  <si>
    <t>Lo dejé constante. Lo más probable es que baje, mejorando los ingresos en dólares. Por simplicidad lo dejaría fijo.</t>
  </si>
  <si>
    <t>Ramp - up Nómina</t>
  </si>
  <si>
    <t>Nomina Full</t>
  </si>
  <si>
    <t>Com. / Impuestos (Incluye Iva)</t>
  </si>
  <si>
    <t>IIGG</t>
  </si>
  <si>
    <t>Es 5</t>
  </si>
  <si>
    <t>Sensibilidad del VAN contra Nomina y CMV</t>
  </si>
  <si>
    <t>Gasto de Nómina</t>
  </si>
  <si>
    <t>CMV</t>
  </si>
  <si>
    <t>Topear en 10.000 usd</t>
  </si>
  <si>
    <t>Ya lo vimos</t>
  </si>
  <si>
    <t>WACC Año 1</t>
  </si>
  <si>
    <t>ANALISIS DE SENSIBILIDAD</t>
  </si>
  <si>
    <t>Estado de 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</si>
</sst>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\ * #,##0.00_);_(&quot;$&quot;\ * \(#,##0.00\);_(&quot;$&quot;\ * &quot;-&quot;??_);_(@_)"/>
    <numFmt numFmtId="165" formatCode="_(* #,##0.00_);_(* \(#,##0.00\);_(* &quot;-&quot;??_);_(@_)"/>
    <numFmt numFmtId="166" formatCode="&quot;$&quot;\ #,##0"/>
    <numFmt numFmtId="167" formatCode="0.0%"/>
    <numFmt numFmtId="168" formatCode="_(&quot;$&quot;\ * #,##0_);_(&quot;$&quot;\ * \(#,##0\);_(&quot;$&quot;\ * &quot;-&quot;??_);_(@_)"/>
    <numFmt numFmtId="169" formatCode="_(* #,##0_);_(* \(#,##0\);_(* &quot;-&quot;??_);_(@_)"/>
    <numFmt numFmtId="170" formatCode="[$USD]\ #,##0_);\([$USD]\ #,##0\)"/>
    <numFmt numFmtId="171" formatCode="[$USD]\ #,##0"/>
  </numFmts>
  <fonts count="2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6"/>
      <color theme="8" tint="-0.249977111117893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70C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8" tint="-0.249977111117893"/>
      </top>
      <bottom/>
      <diagonal/>
    </border>
    <border>
      <left style="medium">
        <color theme="8" tint="-0.249977111117893"/>
      </left>
      <right/>
      <top style="medium">
        <color theme="8" tint="-0.249977111117893"/>
      </top>
      <bottom style="medium">
        <color theme="8" tint="-0.249977111117893"/>
      </bottom>
      <diagonal/>
    </border>
    <border>
      <left/>
      <right style="medium">
        <color theme="8" tint="-0.249977111117893"/>
      </right>
      <top style="medium">
        <color theme="8" tint="-0.249977111117893"/>
      </top>
      <bottom style="medium">
        <color theme="8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62">
    <xf numFmtId="0" fontId="0" fillId="0" borderId="0" xfId="0"/>
    <xf numFmtId="0" fontId="0" fillId="2" borderId="0" xfId="0" applyFill="1"/>
    <xf numFmtId="0" fontId="6" fillId="3" borderId="0" xfId="0" applyFont="1" applyFill="1"/>
    <xf numFmtId="0" fontId="7" fillId="3" borderId="0" xfId="0" applyFont="1" applyFill="1"/>
    <xf numFmtId="0" fontId="0" fillId="0" borderId="0" xfId="0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166" fontId="10" fillId="0" borderId="1" xfId="0" applyNumberFormat="1" applyFont="1" applyBorder="1"/>
    <xf numFmtId="37" fontId="0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0" fontId="10" fillId="0" borderId="1" xfId="0" applyFont="1" applyBorder="1"/>
    <xf numFmtId="166" fontId="0" fillId="0" borderId="0" xfId="0" applyNumberFormat="1"/>
    <xf numFmtId="0" fontId="9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166" fontId="9" fillId="0" borderId="2" xfId="0" applyNumberFormat="1" applyFont="1" applyBorder="1"/>
    <xf numFmtId="0" fontId="0" fillId="0" borderId="1" xfId="0" applyBorder="1"/>
    <xf numFmtId="0" fontId="0" fillId="0" borderId="1" xfId="0" quotePrefix="1" applyBorder="1" applyAlignment="1">
      <alignment horizontal="center"/>
    </xf>
    <xf numFmtId="9" fontId="0" fillId="0" borderId="1" xfId="2" applyFont="1" applyBorder="1" applyAlignment="1">
      <alignment horizontal="center"/>
    </xf>
    <xf numFmtId="0" fontId="0" fillId="4" borderId="0" xfId="0" applyFill="1"/>
    <xf numFmtId="166" fontId="9" fillId="0" borderId="0" xfId="0" applyNumberFormat="1" applyFont="1"/>
    <xf numFmtId="0" fontId="3" fillId="0" borderId="0" xfId="3"/>
    <xf numFmtId="166" fontId="3" fillId="0" borderId="0" xfId="3" applyNumberFormat="1"/>
    <xf numFmtId="0" fontId="3" fillId="0" borderId="0" xfId="3" quotePrefix="1"/>
    <xf numFmtId="168" fontId="3" fillId="0" borderId="0" xfId="3" applyNumberFormat="1"/>
    <xf numFmtId="0" fontId="13" fillId="0" borderId="0" xfId="3" quotePrefix="1" applyFont="1"/>
    <xf numFmtId="0" fontId="13" fillId="0" borderId="0" xfId="3" applyFont="1"/>
    <xf numFmtId="164" fontId="13" fillId="0" borderId="0" xfId="3" applyNumberFormat="1" applyFont="1"/>
    <xf numFmtId="0" fontId="13" fillId="4" borderId="0" xfId="3" applyFont="1" applyFill="1"/>
    <xf numFmtId="168" fontId="13" fillId="0" borderId="0" xfId="3" applyNumberFormat="1" applyFont="1"/>
    <xf numFmtId="168" fontId="13" fillId="4" borderId="0" xfId="3" applyNumberFormat="1" applyFont="1" applyFill="1"/>
    <xf numFmtId="0" fontId="4" fillId="0" borderId="4" xfId="3" applyFont="1" applyBorder="1"/>
    <xf numFmtId="0" fontId="3" fillId="0" borderId="4" xfId="3" applyBorder="1"/>
    <xf numFmtId="168" fontId="3" fillId="0" borderId="4" xfId="3" applyNumberFormat="1" applyBorder="1"/>
    <xf numFmtId="168" fontId="0" fillId="0" borderId="0" xfId="0" applyNumberFormat="1"/>
    <xf numFmtId="168" fontId="0" fillId="0" borderId="1" xfId="0" applyNumberFormat="1" applyBorder="1"/>
    <xf numFmtId="0" fontId="14" fillId="5" borderId="0" xfId="0" applyFont="1" applyFill="1"/>
    <xf numFmtId="168" fontId="14" fillId="5" borderId="0" xfId="0" applyNumberFormat="1" applyFont="1" applyFill="1"/>
    <xf numFmtId="0" fontId="2" fillId="4" borderId="0" xfId="3" applyFont="1" applyFill="1"/>
    <xf numFmtId="0" fontId="2" fillId="0" borderId="0" xfId="3" applyFont="1"/>
    <xf numFmtId="0" fontId="8" fillId="4" borderId="0" xfId="0" applyFont="1" applyFill="1"/>
    <xf numFmtId="166" fontId="0" fillId="4" borderId="0" xfId="0" applyNumberFormat="1" applyFill="1"/>
    <xf numFmtId="0" fontId="12" fillId="0" borderId="1" xfId="3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8" fontId="8" fillId="0" borderId="0" xfId="0" applyNumberFormat="1" applyFont="1" applyAlignment="1">
      <alignment horizontal="center"/>
    </xf>
    <xf numFmtId="168" fontId="17" fillId="0" borderId="0" xfId="0" applyNumberFormat="1" applyFont="1"/>
    <xf numFmtId="0" fontId="8" fillId="0" borderId="0" xfId="0" applyFont="1"/>
    <xf numFmtId="0" fontId="18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1" fillId="0" borderId="0" xfId="4"/>
    <xf numFmtId="0" fontId="1" fillId="0" borderId="0" xfId="4" applyAlignment="1">
      <alignment horizontal="center" vertical="center"/>
    </xf>
    <xf numFmtId="0" fontId="11" fillId="0" borderId="3" xfId="4" applyFont="1" applyBorder="1" applyAlignment="1">
      <alignment horizontal="left"/>
    </xf>
    <xf numFmtId="0" fontId="12" fillId="0" borderId="3" xfId="4" applyFont="1" applyBorder="1" applyAlignment="1">
      <alignment horizontal="center"/>
    </xf>
    <xf numFmtId="9" fontId="1" fillId="0" borderId="0" xfId="4" applyNumberFormat="1"/>
    <xf numFmtId="0" fontId="20" fillId="0" borderId="0" xfId="4" applyFont="1"/>
    <xf numFmtId="168" fontId="1" fillId="0" borderId="0" xfId="4" applyNumberFormat="1"/>
    <xf numFmtId="9" fontId="20" fillId="0" borderId="0" xfId="4" applyNumberFormat="1" applyFont="1"/>
    <xf numFmtId="10" fontId="20" fillId="0" borderId="0" xfId="4" applyNumberFormat="1" applyFont="1"/>
    <xf numFmtId="0" fontId="4" fillId="0" borderId="0" xfId="4" applyFont="1"/>
    <xf numFmtId="0" fontId="13" fillId="0" borderId="0" xfId="4" applyFont="1"/>
    <xf numFmtId="0" fontId="1" fillId="4" borderId="0" xfId="4" applyFill="1"/>
    <xf numFmtId="9" fontId="1" fillId="4" borderId="0" xfId="4" applyNumberFormat="1" applyFill="1"/>
    <xf numFmtId="0" fontId="4" fillId="0" borderId="4" xfId="4" applyFont="1" applyBorder="1"/>
    <xf numFmtId="0" fontId="1" fillId="0" borderId="4" xfId="4" applyBorder="1"/>
    <xf numFmtId="168" fontId="1" fillId="0" borderId="4" xfId="4" applyNumberFormat="1" applyBorder="1"/>
    <xf numFmtId="0" fontId="4" fillId="5" borderId="0" xfId="4" applyFont="1" applyFill="1" applyAlignment="1">
      <alignment horizontal="center"/>
    </xf>
    <xf numFmtId="9" fontId="4" fillId="5" borderId="0" xfId="4" applyNumberFormat="1" applyFont="1" applyFill="1" applyAlignment="1">
      <alignment horizontal="center"/>
    </xf>
    <xf numFmtId="2" fontId="1" fillId="0" borderId="0" xfId="4" applyNumberFormat="1"/>
    <xf numFmtId="164" fontId="1" fillId="0" borderId="4" xfId="4" applyNumberFormat="1" applyBorder="1"/>
    <xf numFmtId="0" fontId="4" fillId="0" borderId="5" xfId="4" applyFont="1" applyBorder="1"/>
    <xf numFmtId="164" fontId="4" fillId="0" borderId="6" xfId="4" applyNumberFormat="1" applyFont="1" applyBorder="1"/>
    <xf numFmtId="9" fontId="4" fillId="0" borderId="0" xfId="4" applyNumberFormat="1" applyFont="1"/>
    <xf numFmtId="0" fontId="15" fillId="8" borderId="0" xfId="4" applyFont="1" applyFill="1"/>
    <xf numFmtId="0" fontId="16" fillId="8" borderId="0" xfId="4" applyFont="1" applyFill="1"/>
    <xf numFmtId="169" fontId="16" fillId="8" borderId="0" xfId="7" applyNumberFormat="1" applyFont="1" applyFill="1" applyBorder="1"/>
    <xf numFmtId="169" fontId="0" fillId="0" borderId="0" xfId="7" applyNumberFormat="1" applyFont="1"/>
    <xf numFmtId="0" fontId="4" fillId="0" borderId="3" xfId="4" applyFont="1" applyBorder="1"/>
    <xf numFmtId="10" fontId="1" fillId="0" borderId="0" xfId="4" applyNumberFormat="1"/>
    <xf numFmtId="165" fontId="0" fillId="0" borderId="0" xfId="7" applyFont="1"/>
    <xf numFmtId="10" fontId="0" fillId="0" borderId="0" xfId="6" applyNumberFormat="1" applyFont="1"/>
    <xf numFmtId="167" fontId="21" fillId="0" borderId="0" xfId="6" applyNumberFormat="1" applyFont="1"/>
    <xf numFmtId="0" fontId="22" fillId="0" borderId="0" xfId="4" applyFont="1"/>
    <xf numFmtId="10" fontId="21" fillId="0" borderId="0" xfId="6" applyNumberFormat="1" applyFont="1" applyFill="1"/>
    <xf numFmtId="165" fontId="21" fillId="0" borderId="0" xfId="7" applyFont="1" applyFill="1"/>
    <xf numFmtId="10" fontId="21" fillId="0" borderId="0" xfId="6" applyNumberFormat="1" applyFont="1"/>
    <xf numFmtId="9" fontId="0" fillId="0" borderId="0" xfId="6" applyFont="1" applyBorder="1" applyAlignment="1">
      <alignment horizontal="center"/>
    </xf>
    <xf numFmtId="165" fontId="1" fillId="0" borderId="0" xfId="4" applyNumberFormat="1"/>
    <xf numFmtId="0" fontId="4" fillId="0" borderId="2" xfId="4" applyFont="1" applyBorder="1"/>
    <xf numFmtId="10" fontId="4" fillId="0" borderId="2" xfId="4" applyNumberFormat="1" applyFont="1" applyBorder="1"/>
    <xf numFmtId="10" fontId="4" fillId="0" borderId="0" xfId="4" applyNumberFormat="1" applyFont="1"/>
    <xf numFmtId="0" fontId="4" fillId="0" borderId="0" xfId="4" applyFont="1" applyAlignment="1">
      <alignment horizontal="right"/>
    </xf>
    <xf numFmtId="10" fontId="0" fillId="0" borderId="0" xfId="6" applyNumberFormat="1" applyFont="1" applyAlignment="1">
      <alignment horizontal="center"/>
    </xf>
    <xf numFmtId="0" fontId="12" fillId="0" borderId="0" xfId="4" applyFont="1" applyAlignment="1">
      <alignment horizontal="center"/>
    </xf>
    <xf numFmtId="169" fontId="16" fillId="0" borderId="0" xfId="7" applyNumberFormat="1" applyFont="1" applyFill="1" applyBorder="1"/>
    <xf numFmtId="169" fontId="0" fillId="0" borderId="0" xfId="7" applyNumberFormat="1" applyFont="1" applyFill="1" applyBorder="1"/>
    <xf numFmtId="165" fontId="0" fillId="0" borderId="0" xfId="7" applyFont="1" applyFill="1" applyBorder="1"/>
    <xf numFmtId="0" fontId="23" fillId="3" borderId="0" xfId="0" applyFont="1" applyFill="1" applyAlignment="1">
      <alignment horizontal="center"/>
    </xf>
    <xf numFmtId="9" fontId="23" fillId="3" borderId="0" xfId="0" applyNumberFormat="1" applyFont="1" applyFill="1" applyAlignment="1">
      <alignment horizontal="center"/>
    </xf>
    <xf numFmtId="164" fontId="23" fillId="3" borderId="0" xfId="0" applyNumberFormat="1" applyFont="1" applyFill="1" applyAlignment="1">
      <alignment horizontal="center"/>
    </xf>
    <xf numFmtId="0" fontId="4" fillId="2" borderId="0" xfId="0" applyFont="1" applyFill="1"/>
    <xf numFmtId="170" fontId="4" fillId="2" borderId="0" xfId="0" applyNumberFormat="1" applyFont="1" applyFill="1"/>
    <xf numFmtId="0" fontId="1" fillId="2" borderId="0" xfId="0" applyFont="1" applyFill="1"/>
    <xf numFmtId="170" fontId="1" fillId="2" borderId="0" xfId="0" applyNumberFormat="1" applyFont="1" applyFill="1"/>
    <xf numFmtId="10" fontId="0" fillId="2" borderId="0" xfId="0" applyNumberFormat="1" applyFill="1" applyAlignment="1">
      <alignment horizontal="center"/>
    </xf>
    <xf numFmtId="37" fontId="0" fillId="0" borderId="0" xfId="1" applyNumberFormat="1" applyFont="1" applyBorder="1" applyAlignment="1">
      <alignment horizontal="center"/>
    </xf>
    <xf numFmtId="0" fontId="0" fillId="7" borderId="7" xfId="0" applyFill="1" applyBorder="1"/>
    <xf numFmtId="0" fontId="0" fillId="7" borderId="2" xfId="0" applyFill="1" applyBorder="1"/>
    <xf numFmtId="0" fontId="0" fillId="7" borderId="8" xfId="0" applyFill="1" applyBorder="1"/>
    <xf numFmtId="0" fontId="0" fillId="7" borderId="9" xfId="0" applyFill="1" applyBorder="1"/>
    <xf numFmtId="0" fontId="0" fillId="7" borderId="0" xfId="0" applyFill="1"/>
    <xf numFmtId="0" fontId="0" fillId="7" borderId="10" xfId="0" applyFill="1" applyBorder="1"/>
    <xf numFmtId="164" fontId="8" fillId="7" borderId="0" xfId="0" applyNumberFormat="1" applyFont="1" applyFill="1"/>
    <xf numFmtId="166" fontId="7" fillId="9" borderId="0" xfId="0" applyNumberFormat="1" applyFont="1" applyFill="1" applyAlignment="1">
      <alignment horizontal="center"/>
    </xf>
    <xf numFmtId="9" fontId="7" fillId="9" borderId="0" xfId="0" applyNumberFormat="1" applyFont="1" applyFill="1" applyAlignment="1">
      <alignment horizontal="center"/>
    </xf>
    <xf numFmtId="171" fontId="0" fillId="7" borderId="0" xfId="0" applyNumberFormat="1" applyFill="1"/>
    <xf numFmtId="0" fontId="0" fillId="0" borderId="11" xfId="0" applyBorder="1"/>
    <xf numFmtId="0" fontId="0" fillId="0" borderId="12" xfId="0" applyBorder="1"/>
    <xf numFmtId="9" fontId="9" fillId="4" borderId="0" xfId="0" applyNumberFormat="1" applyFont="1" applyFill="1" applyAlignment="1">
      <alignment horizontal="center"/>
    </xf>
    <xf numFmtId="0" fontId="9" fillId="2" borderId="0" xfId="0" applyFont="1" applyFill="1"/>
    <xf numFmtId="166" fontId="9" fillId="2" borderId="0" xfId="0" applyNumberFormat="1" applyFont="1" applyFill="1" applyAlignment="1">
      <alignment horizontal="center"/>
    </xf>
    <xf numFmtId="0" fontId="9" fillId="5" borderId="0" xfId="0" applyFont="1" applyFill="1"/>
    <xf numFmtId="166" fontId="9" fillId="5" borderId="0" xfId="0" applyNumberFormat="1" applyFont="1" applyFill="1" applyAlignment="1">
      <alignment horizontal="center"/>
    </xf>
    <xf numFmtId="9" fontId="9" fillId="5" borderId="0" xfId="0" applyNumberFormat="1" applyFont="1" applyFill="1" applyAlignment="1">
      <alignment horizontal="center"/>
    </xf>
    <xf numFmtId="167" fontId="9" fillId="5" borderId="0" xfId="0" applyNumberFormat="1" applyFont="1" applyFill="1" applyAlignment="1">
      <alignment horizontal="center"/>
    </xf>
    <xf numFmtId="10" fontId="9" fillId="5" borderId="0" xfId="0" applyNumberFormat="1" applyFont="1" applyFill="1" applyAlignment="1">
      <alignment horizontal="center"/>
    </xf>
    <xf numFmtId="0" fontId="23" fillId="3" borderId="0" xfId="0" applyFont="1" applyFill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center"/>
    </xf>
    <xf numFmtId="168" fontId="0" fillId="10" borderId="0" xfId="0" applyNumberFormat="1" applyFill="1"/>
    <xf numFmtId="0" fontId="0" fillId="0" borderId="0" xfId="0" applyAlignment="1">
      <alignment horizontal="left" vertical="center"/>
    </xf>
    <xf numFmtId="0" fontId="2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68" fontId="26" fillId="5" borderId="13" xfId="3" applyNumberFormat="1" applyFont="1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71" fontId="0" fillId="0" borderId="0" xfId="0" applyNumberFormat="1"/>
    <xf numFmtId="164" fontId="8" fillId="0" borderId="0" xfId="0" applyNumberFormat="1" applyFont="1"/>
    <xf numFmtId="0" fontId="25" fillId="4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3" borderId="9" xfId="0" applyFont="1" applyFill="1" applyBorder="1"/>
    <xf numFmtId="0" fontId="7" fillId="0" borderId="9" xfId="0" applyFont="1" applyBorder="1"/>
    <xf numFmtId="0" fontId="6" fillId="0" borderId="0" xfId="0" applyFont="1"/>
    <xf numFmtId="0" fontId="7" fillId="0" borderId="0" xfId="0" applyFont="1"/>
    <xf numFmtId="171" fontId="0" fillId="7" borderId="14" xfId="0" applyNumberFormat="1" applyFill="1" applyBorder="1"/>
    <xf numFmtId="171" fontId="0" fillId="0" borderId="14" xfId="0" applyNumberFormat="1" applyBorder="1"/>
    <xf numFmtId="0" fontId="27" fillId="5" borderId="15" xfId="4" applyFont="1" applyFill="1" applyBorder="1" applyAlignment="1">
      <alignment horizontal="center"/>
    </xf>
    <xf numFmtId="0" fontId="27" fillId="5" borderId="16" xfId="4" applyFont="1" applyFill="1" applyBorder="1" applyAlignment="1">
      <alignment horizontal="center"/>
    </xf>
    <xf numFmtId="0" fontId="11" fillId="0" borderId="1" xfId="3" applyFont="1" applyBorder="1" applyAlignment="1">
      <alignment horizontal="left"/>
    </xf>
    <xf numFmtId="0" fontId="11" fillId="0" borderId="0" xfId="3" applyFont="1" applyAlignment="1">
      <alignment horizontal="left"/>
    </xf>
    <xf numFmtId="0" fontId="1" fillId="0" borderId="0" xfId="4" applyAlignment="1">
      <alignment horizontal="center"/>
    </xf>
    <xf numFmtId="166" fontId="9" fillId="11" borderId="0" xfId="0" applyNumberFormat="1" applyFont="1" applyFill="1" applyAlignment="1">
      <alignment horizontal="center"/>
    </xf>
    <xf numFmtId="0" fontId="24" fillId="3" borderId="0" xfId="0" applyFont="1" applyFill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7" borderId="9" xfId="0" applyFont="1" applyFill="1" applyBorder="1" applyAlignment="1">
      <alignment horizontal="center" vertical="center" wrapText="1"/>
    </xf>
    <xf numFmtId="0" fontId="18" fillId="7" borderId="0" xfId="0" applyFont="1" applyFill="1" applyAlignment="1">
      <alignment horizontal="center"/>
    </xf>
  </cellXfs>
  <cellStyles count="8">
    <cellStyle name="Comma 2" xfId="7" xr:uid="{E2501F72-FDE4-8546-9016-D79A94DD2CC8}"/>
    <cellStyle name="Currency 2" xfId="5" xr:uid="{5700058D-859D-454C-BAD1-EF073F30053B}"/>
    <cellStyle name="Millares" xfId="1" builtinId="3"/>
    <cellStyle name="Normal" xfId="0" builtinId="0"/>
    <cellStyle name="Normal 2" xfId="3" xr:uid="{35C53613-D842-1441-A3A7-BB956D78D9D8}"/>
    <cellStyle name="Normal 2 2" xfId="4" xr:uid="{2952D43E-5893-CB4A-8990-70D5BC8B72F5}"/>
    <cellStyle name="Percent 2" xfId="6" xr:uid="{043FA730-096F-7941-B6B5-1E4090D5A8A9}"/>
    <cellStyle name="Porcentaje" xfId="2" builtinId="5"/>
  </cellStyles>
  <dxfs count="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AE9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965200</xdr:colOff>
      <xdr:row>88</xdr:row>
      <xdr:rowOff>152400</xdr:rowOff>
    </xdr:from>
    <xdr:to>
      <xdr:col>21</xdr:col>
      <xdr:colOff>800100</xdr:colOff>
      <xdr:row>89</xdr:row>
      <xdr:rowOff>101600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77ABF5B9-8F45-C448-B5BC-C49F70C11CE2}"/>
            </a:ext>
          </a:extLst>
        </xdr:cNvPr>
        <xdr:cNvCxnSpPr/>
      </xdr:nvCxnSpPr>
      <xdr:spPr>
        <a:xfrm>
          <a:off x="20332700" y="17310100"/>
          <a:ext cx="812800" cy="139700"/>
        </a:xfrm>
        <a:prstGeom prst="straightConnector1">
          <a:avLst/>
        </a:prstGeom>
        <a:ln w="57150">
          <a:solidFill>
            <a:schemeClr val="accent5">
              <a:lumMod val="75000"/>
            </a:schemeClr>
          </a:solidFill>
          <a:tailEnd type="triangle"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393700</xdr:colOff>
      <xdr:row>87</xdr:row>
      <xdr:rowOff>165100</xdr:rowOff>
    </xdr:from>
    <xdr:to>
      <xdr:col>21</xdr:col>
      <xdr:colOff>12700</xdr:colOff>
      <xdr:row>89</xdr:row>
      <xdr:rowOff>12700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19D624F5-223A-E5FE-4B85-BF745F9C7643}"/>
            </a:ext>
          </a:extLst>
        </xdr:cNvPr>
        <xdr:cNvSpPr/>
      </xdr:nvSpPr>
      <xdr:spPr>
        <a:xfrm>
          <a:off x="19761200" y="17132300"/>
          <a:ext cx="596900" cy="228600"/>
        </a:xfrm>
        <a:prstGeom prst="roundRect">
          <a:avLst/>
        </a:prstGeom>
        <a:noFill/>
        <a:ln w="57150">
          <a:solidFill>
            <a:schemeClr val="accent5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292100</xdr:colOff>
      <xdr:row>88</xdr:row>
      <xdr:rowOff>0</xdr:rowOff>
    </xdr:from>
    <xdr:to>
      <xdr:col>35</xdr:col>
      <xdr:colOff>63500</xdr:colOff>
      <xdr:row>89</xdr:row>
      <xdr:rowOff>38100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843A2AFD-EB29-7347-83D4-BC4E348ECAD0}"/>
            </a:ext>
          </a:extLst>
        </xdr:cNvPr>
        <xdr:cNvSpPr/>
      </xdr:nvSpPr>
      <xdr:spPr>
        <a:xfrm>
          <a:off x="19519900" y="17018000"/>
          <a:ext cx="749300" cy="228600"/>
        </a:xfrm>
        <a:prstGeom prst="roundRect">
          <a:avLst/>
        </a:prstGeom>
        <a:noFill/>
        <a:ln w="57150">
          <a:solidFill>
            <a:schemeClr val="accent5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292100</xdr:colOff>
      <xdr:row>88</xdr:row>
      <xdr:rowOff>0</xdr:rowOff>
    </xdr:from>
    <xdr:to>
      <xdr:col>49</xdr:col>
      <xdr:colOff>63500</xdr:colOff>
      <xdr:row>89</xdr:row>
      <xdr:rowOff>38100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508BB359-6FFC-A241-AE10-EA3C0D8CAD96}"/>
            </a:ext>
          </a:extLst>
        </xdr:cNvPr>
        <xdr:cNvSpPr/>
      </xdr:nvSpPr>
      <xdr:spPr>
        <a:xfrm>
          <a:off x="33604200" y="17157700"/>
          <a:ext cx="800100" cy="228600"/>
        </a:xfrm>
        <a:prstGeom prst="roundRect">
          <a:avLst/>
        </a:prstGeom>
        <a:noFill/>
        <a:ln w="57150">
          <a:solidFill>
            <a:schemeClr val="accent5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Users/Diego/OneDrive/Landchain%20Cashflow%202024.xlsx" TargetMode="External"/><Relationship Id="rId2" Type="http://schemas.openxmlformats.org/officeDocument/2006/relationships/externalLinkPath" Target="https://d.docs.live.net/Users/Diego/OneDrive/Landchain%20Cashflow%202024.xlsx" TargetMode="External"/><Relationship Id="rId1" Type="http://schemas.openxmlformats.org/officeDocument/2006/relationships/externalLinkPath" Target="/Users/Diego/OneDrive/Landchain%20Cashflow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Betas"/>
      <sheetName val="Inversiones"/>
      <sheetName val="DA"/>
      <sheetName val="EERR Mensual)"/>
      <sheetName val="EERR &amp; CF Anual"/>
      <sheetName val="Balances"/>
      <sheetName val="Ventas"/>
      <sheetName val="Gráficos de Ventas"/>
      <sheetName val="Costos"/>
      <sheetName val="RRHH"/>
      <sheetName val="Token MIX"/>
      <sheetName val="Financiamiento"/>
      <sheetName val="Rentabilidad"/>
      <sheetName val="Plan de Implementación"/>
      <sheetName val="Impuestos"/>
      <sheetName val="Estructura"/>
      <sheetName val="Unit Economics CAC LTV"/>
    </sheetNames>
    <sheetDataSet>
      <sheetData sheetId="0">
        <row r="8">
          <cell r="C8">
            <v>0.03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056B7-1E4E-314A-91E4-7660AD5EB9A5}" name="Table1" displayName="Table1" ref="B2:D24" totalsRowShown="0" headerRowDxfId="13" dataDxfId="12">
  <autoFilter ref="B2:D24" xr:uid="{C22056B7-1E4E-314A-91E4-7660AD5EB9A5}"/>
  <tableColumns count="3">
    <tableColumn id="1" xr3:uid="{8528ECB5-7738-D84D-9482-5DF0535ADDF7}" name="ITEM" dataDxfId="11"/>
    <tableColumn id="2" xr3:uid="{60E75ADB-1E87-AE48-BE54-F8E7A44784AE}" name="Nota Diego" dataDxfId="10"/>
    <tableColumn id="3" xr3:uid="{8FC4694F-786A-1C49-8F9F-219A48551B59}" name="Inputs Gastó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885F-93F7-2F49-B22F-E3821163F3A9}">
  <dimension ref="A1:AW116"/>
  <sheetViews>
    <sheetView showGridLines="0" topLeftCell="A51" zoomScale="70" zoomScaleNormal="70" workbookViewId="0">
      <selection activeCell="U74" sqref="U74"/>
    </sheetView>
  </sheetViews>
  <sheetFormatPr baseColWidth="10" defaultRowHeight="14.4" x14ac:dyDescent="0.3"/>
  <cols>
    <col min="1" max="1" width="4.77734375" style="1" customWidth="1"/>
    <col min="2" max="2" width="17.44140625" style="1" customWidth="1"/>
    <col min="3" max="3" width="18" style="1" customWidth="1"/>
    <col min="4" max="4" width="4.109375" style="1" customWidth="1"/>
    <col min="6" max="6" width="14.77734375" customWidth="1"/>
    <col min="7" max="7" width="18.44140625" customWidth="1"/>
    <col min="8" max="8" width="11.6640625" customWidth="1"/>
    <col min="9" max="9" width="18.6640625" customWidth="1"/>
    <col min="10" max="10" width="16.77734375" hidden="1" customWidth="1"/>
    <col min="11" max="12" width="17.109375" hidden="1" customWidth="1"/>
    <col min="13" max="13" width="17.88671875" hidden="1" customWidth="1"/>
    <col min="14" max="14" width="16.77734375" hidden="1" customWidth="1"/>
    <col min="15" max="15" width="17.33203125" hidden="1" customWidth="1"/>
    <col min="16" max="16" width="52.88671875" hidden="1" customWidth="1"/>
    <col min="17" max="19" width="17.88671875" hidden="1" customWidth="1"/>
    <col min="20" max="20" width="18.21875" hidden="1" customWidth="1"/>
    <col min="21" max="21" width="26.5546875" customWidth="1"/>
    <col min="22" max="22" width="2.77734375" customWidth="1"/>
    <col min="23" max="23" width="11.21875" customWidth="1"/>
    <col min="24" max="24" width="18.21875" bestFit="1" customWidth="1"/>
    <col min="25" max="26" width="17.6640625" bestFit="1" customWidth="1"/>
    <col min="27" max="28" width="18.21875" bestFit="1" customWidth="1"/>
    <col min="29" max="29" width="17.88671875" bestFit="1" customWidth="1"/>
    <col min="30" max="31" width="17.6640625" bestFit="1" customWidth="1"/>
    <col min="32" max="33" width="17.88671875" bestFit="1" customWidth="1"/>
    <col min="34" max="34" width="17.109375" bestFit="1" customWidth="1"/>
    <col min="35" max="35" width="17.88671875" bestFit="1" customWidth="1"/>
    <col min="37" max="49" width="13" customWidth="1"/>
  </cols>
  <sheetData>
    <row r="1" spans="1:49" x14ac:dyDescent="0.3">
      <c r="A1" s="157" t="s">
        <v>140</v>
      </c>
      <c r="B1" s="157"/>
      <c r="C1" s="157"/>
      <c r="D1" s="157"/>
      <c r="J1" s="2" t="s">
        <v>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X1" s="2" t="s">
        <v>1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L1" s="2" t="s">
        <v>1</v>
      </c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</row>
    <row r="2" spans="1:49" x14ac:dyDescent="0.3">
      <c r="A2" s="157"/>
      <c r="B2" s="157"/>
      <c r="C2" s="157"/>
      <c r="D2" s="157"/>
      <c r="I2" s="4">
        <v>0</v>
      </c>
      <c r="J2" s="4">
        <v>1</v>
      </c>
      <c r="K2" s="4">
        <v>2</v>
      </c>
      <c r="L2" s="4">
        <v>3</v>
      </c>
      <c r="M2" s="4">
        <v>4</v>
      </c>
      <c r="N2" s="4">
        <v>5</v>
      </c>
      <c r="O2" s="4">
        <v>6</v>
      </c>
      <c r="P2" s="4">
        <v>7</v>
      </c>
      <c r="Q2" s="4">
        <v>8</v>
      </c>
      <c r="R2" s="4">
        <v>9</v>
      </c>
      <c r="S2" s="4">
        <v>10</v>
      </c>
      <c r="T2" s="4">
        <v>11</v>
      </c>
      <c r="U2" s="4">
        <v>12</v>
      </c>
      <c r="X2" s="4">
        <v>1</v>
      </c>
      <c r="Y2" s="4">
        <v>2</v>
      </c>
      <c r="Z2" s="4">
        <v>3</v>
      </c>
      <c r="AA2" s="4">
        <v>4</v>
      </c>
      <c r="AB2" s="4">
        <v>5</v>
      </c>
      <c r="AC2" s="4">
        <v>6</v>
      </c>
      <c r="AD2" s="4">
        <v>7</v>
      </c>
      <c r="AE2" s="4">
        <v>8</v>
      </c>
      <c r="AF2" s="4">
        <v>9</v>
      </c>
      <c r="AG2" s="4">
        <v>10</v>
      </c>
      <c r="AH2" s="4">
        <v>11</v>
      </c>
      <c r="AI2" s="4">
        <v>12</v>
      </c>
      <c r="AL2" s="4">
        <v>1</v>
      </c>
      <c r="AM2" s="4">
        <v>2</v>
      </c>
      <c r="AN2" s="4">
        <v>3</v>
      </c>
      <c r="AO2" s="4">
        <v>4</v>
      </c>
      <c r="AP2" s="4">
        <v>5</v>
      </c>
      <c r="AQ2" s="4">
        <v>6</v>
      </c>
      <c r="AR2" s="4">
        <v>7</v>
      </c>
      <c r="AS2" s="4">
        <v>8</v>
      </c>
      <c r="AT2" s="4">
        <v>9</v>
      </c>
      <c r="AU2" s="4">
        <v>10</v>
      </c>
      <c r="AV2" s="4">
        <v>11</v>
      </c>
      <c r="AW2" s="4">
        <v>12</v>
      </c>
    </row>
    <row r="3" spans="1:49" s="6" customFormat="1" x14ac:dyDescent="0.3">
      <c r="A3" s="5"/>
      <c r="B3" s="5"/>
      <c r="C3" s="5"/>
      <c r="D3" s="5"/>
      <c r="J3" s="6" t="s">
        <v>2</v>
      </c>
      <c r="K3" s="6" t="s">
        <v>3</v>
      </c>
      <c r="L3" s="6" t="s">
        <v>4</v>
      </c>
      <c r="M3" s="6" t="s">
        <v>5</v>
      </c>
      <c r="N3" s="6" t="s">
        <v>6</v>
      </c>
      <c r="O3" s="6" t="s">
        <v>7</v>
      </c>
      <c r="P3" s="6" t="s">
        <v>8</v>
      </c>
      <c r="Q3" s="6" t="s">
        <v>9</v>
      </c>
      <c r="R3" s="6" t="s">
        <v>10</v>
      </c>
      <c r="S3" s="6" t="s">
        <v>11</v>
      </c>
      <c r="T3" s="6" t="s">
        <v>12</v>
      </c>
      <c r="U3" s="6" t="s">
        <v>13</v>
      </c>
      <c r="X3" s="6" t="s">
        <v>2</v>
      </c>
      <c r="Y3" s="6" t="s">
        <v>3</v>
      </c>
      <c r="Z3" s="6" t="s">
        <v>4</v>
      </c>
      <c r="AA3" s="6" t="s">
        <v>5</v>
      </c>
      <c r="AB3" s="6" t="s">
        <v>6</v>
      </c>
      <c r="AC3" s="6" t="s">
        <v>7</v>
      </c>
      <c r="AD3" s="6" t="s">
        <v>8</v>
      </c>
      <c r="AE3" s="6" t="s">
        <v>9</v>
      </c>
      <c r="AF3" s="6" t="s">
        <v>10</v>
      </c>
      <c r="AG3" s="6" t="s">
        <v>11</v>
      </c>
      <c r="AH3" s="6" t="s">
        <v>12</v>
      </c>
      <c r="AI3" s="6" t="s">
        <v>13</v>
      </c>
      <c r="AL3" s="6" t="s">
        <v>2</v>
      </c>
      <c r="AM3" s="6" t="s">
        <v>3</v>
      </c>
      <c r="AN3" s="6" t="s">
        <v>4</v>
      </c>
      <c r="AO3" s="6" t="s">
        <v>5</v>
      </c>
      <c r="AP3" s="6" t="s">
        <v>6</v>
      </c>
      <c r="AQ3" s="6" t="s">
        <v>7</v>
      </c>
      <c r="AR3" s="6" t="s">
        <v>8</v>
      </c>
      <c r="AS3" s="6" t="s">
        <v>9</v>
      </c>
      <c r="AT3" s="6" t="s">
        <v>10</v>
      </c>
      <c r="AU3" s="6" t="s">
        <v>11</v>
      </c>
      <c r="AV3" s="6" t="s">
        <v>12</v>
      </c>
      <c r="AW3" s="6" t="s">
        <v>13</v>
      </c>
    </row>
    <row r="4" spans="1:49" s="6" customFormat="1" ht="16.95" customHeight="1" x14ac:dyDescent="0.4">
      <c r="A4" s="5"/>
      <c r="B4" s="123" t="s">
        <v>136</v>
      </c>
      <c r="C4" s="125">
        <v>1</v>
      </c>
      <c r="D4" s="5"/>
      <c r="F4" s="154" t="s">
        <v>201</v>
      </c>
    </row>
    <row r="5" spans="1:49" s="6" customFormat="1" x14ac:dyDescent="0.3">
      <c r="A5" s="5"/>
      <c r="B5" s="5"/>
      <c r="C5" s="5"/>
      <c r="D5" s="5"/>
      <c r="F5" s="7" t="s">
        <v>14</v>
      </c>
      <c r="G5" s="8"/>
      <c r="H5" s="7"/>
      <c r="I5" s="7"/>
      <c r="J5" s="9">
        <f>J6*$C$6</f>
        <v>141063615.00000003</v>
      </c>
      <c r="K5" s="9">
        <f t="shared" ref="K5:U5" si="0">K6*$C$6</f>
        <v>163970730</v>
      </c>
      <c r="L5" s="9">
        <f t="shared" si="0"/>
        <v>158149530</v>
      </c>
      <c r="M5" s="9">
        <f t="shared" si="0"/>
        <v>234076342.50000003</v>
      </c>
      <c r="N5" s="9">
        <f t="shared" si="0"/>
        <v>186981795</v>
      </c>
      <c r="O5" s="9">
        <f t="shared" si="0"/>
        <v>131914282.50000003</v>
      </c>
      <c r="P5" s="9">
        <f t="shared" si="0"/>
        <v>156056670</v>
      </c>
      <c r="Q5" s="9">
        <f t="shared" si="0"/>
        <v>220763812.5</v>
      </c>
      <c r="R5" s="9">
        <f t="shared" si="0"/>
        <v>235786320.00000003</v>
      </c>
      <c r="S5" s="9">
        <f t="shared" si="0"/>
        <v>239743350</v>
      </c>
      <c r="T5" s="9">
        <f t="shared" si="0"/>
        <v>196184835</v>
      </c>
      <c r="U5" s="9">
        <f t="shared" si="0"/>
        <v>264171600.00000006</v>
      </c>
      <c r="X5" s="9">
        <f t="shared" ref="X5" si="1">X6*$C$6</f>
        <v>153887580.00000003</v>
      </c>
      <c r="Y5" s="9">
        <f t="shared" ref="Y5" si="2">Y6*$C$6</f>
        <v>273284550</v>
      </c>
      <c r="Z5" s="9">
        <f t="shared" ref="Z5" si="3">Z6*$C$6</f>
        <v>263582550.00000003</v>
      </c>
      <c r="AA5" s="9">
        <f t="shared" ref="AA5" si="4">AA6*$C$6</f>
        <v>360117450.00000006</v>
      </c>
      <c r="AB5" s="9">
        <f t="shared" ref="AB5" si="5">AB6*$C$6</f>
        <v>287664300</v>
      </c>
      <c r="AC5" s="9">
        <f t="shared" ref="AC5" si="6">AC6*$C$6</f>
        <v>202945050.00000003</v>
      </c>
      <c r="AD5" s="9">
        <f t="shared" ref="AD5" si="7">AD6*$C$6</f>
        <v>222938100.00000003</v>
      </c>
      <c r="AE5" s="9">
        <f t="shared" ref="AE5" si="8">AE6*$C$6</f>
        <v>294351750</v>
      </c>
      <c r="AF5" s="9">
        <f t="shared" ref="AF5" si="9">AF6*$C$6</f>
        <v>294732900</v>
      </c>
      <c r="AG5" s="9">
        <f t="shared" ref="AG5" si="10">AG6*$C$6</f>
        <v>282051000</v>
      </c>
      <c r="AH5" s="9">
        <f t="shared" ref="AH5" si="11">AH6*$C$6</f>
        <v>217983150</v>
      </c>
      <c r="AI5" s="9">
        <f t="shared" ref="AI5" si="12">AI6*$C$6</f>
        <v>264171600.00000006</v>
      </c>
      <c r="AL5" s="9">
        <f t="shared" ref="AL5" si="13">AL6*$C$6</f>
        <v>233163000</v>
      </c>
      <c r="AM5" s="9">
        <f t="shared" ref="AM5" si="14">AM6*$C$6</f>
        <v>248440500</v>
      </c>
      <c r="AN5" s="9">
        <f t="shared" ref="AN5" si="15">AN6*$C$6</f>
        <v>239620500</v>
      </c>
      <c r="AO5" s="9">
        <f t="shared" ref="AO5" si="16">AO6*$C$6</f>
        <v>327379500</v>
      </c>
      <c r="AP5" s="9">
        <f t="shared" ref="AP5" si="17">AP6*$C$6</f>
        <v>261513000</v>
      </c>
      <c r="AQ5" s="9">
        <f t="shared" ref="AQ5" si="18">AQ6*$C$6</f>
        <v>184495500</v>
      </c>
      <c r="AR5" s="9">
        <f t="shared" ref="AR5" si="19">AR6*$C$6</f>
        <v>202671000</v>
      </c>
      <c r="AS5" s="9">
        <f t="shared" ref="AS5" si="20">AS6*$C$6</f>
        <v>267592500</v>
      </c>
      <c r="AT5" s="9">
        <f t="shared" ref="AT5" si="21">AT6*$C$6</f>
        <v>267939000</v>
      </c>
      <c r="AU5" s="9">
        <f t="shared" ref="AU5" si="22">AU6*$C$6</f>
        <v>256410000</v>
      </c>
      <c r="AV5" s="9">
        <f t="shared" ref="AV5" si="23">AV6*$C$6</f>
        <v>198166500</v>
      </c>
      <c r="AW5" s="9">
        <f t="shared" ref="AW5" si="24">AW6*$C$6</f>
        <v>240156000</v>
      </c>
    </row>
    <row r="6" spans="1:49" s="6" customFormat="1" x14ac:dyDescent="0.3">
      <c r="A6" s="5"/>
      <c r="B6" s="123" t="s">
        <v>15</v>
      </c>
      <c r="C6" s="124">
        <v>31500</v>
      </c>
      <c r="D6" s="5"/>
      <c r="G6" s="4" t="s">
        <v>16</v>
      </c>
      <c r="H6"/>
      <c r="I6"/>
      <c r="J6" s="10">
        <f>(J8*J7)*$C$4</f>
        <v>4478.2100000000009</v>
      </c>
      <c r="K6" s="10">
        <f t="shared" ref="K6:U6" si="25">(K8*K7)*$C$4</f>
        <v>5205.42</v>
      </c>
      <c r="L6" s="10">
        <f t="shared" si="25"/>
        <v>5020.62</v>
      </c>
      <c r="M6" s="10">
        <f t="shared" si="25"/>
        <v>7430.9950000000008</v>
      </c>
      <c r="N6" s="10">
        <f t="shared" si="25"/>
        <v>5935.93</v>
      </c>
      <c r="O6" s="10">
        <f t="shared" si="25"/>
        <v>4187.755000000001</v>
      </c>
      <c r="P6" s="10">
        <f t="shared" si="25"/>
        <v>4954.18</v>
      </c>
      <c r="Q6" s="10">
        <f t="shared" si="25"/>
        <v>7008.375</v>
      </c>
      <c r="R6" s="10">
        <f t="shared" si="25"/>
        <v>7485.2800000000007</v>
      </c>
      <c r="S6" s="10">
        <f t="shared" si="25"/>
        <v>7610.9</v>
      </c>
      <c r="T6" s="10">
        <f t="shared" si="25"/>
        <v>6228.09</v>
      </c>
      <c r="U6" s="10">
        <f t="shared" si="25"/>
        <v>8386.4000000000015</v>
      </c>
      <c r="X6" s="10">
        <f t="shared" ref="X6" si="26">(X8*X7)*$C$4</f>
        <v>4885.3200000000006</v>
      </c>
      <c r="Y6" s="10">
        <f t="shared" ref="Y6" si="27">(Y8*Y7)*$C$4</f>
        <v>8675.7000000000007</v>
      </c>
      <c r="Z6" s="10">
        <f t="shared" ref="Z6" si="28">(Z8*Z7)*$C$4</f>
        <v>8367.7000000000007</v>
      </c>
      <c r="AA6" s="10">
        <f t="shared" ref="AA6" si="29">(AA8*AA7)*$C$4</f>
        <v>11432.300000000001</v>
      </c>
      <c r="AB6" s="10">
        <f t="shared" ref="AB6" si="30">(AB8*AB7)*$C$4</f>
        <v>9132.2000000000007</v>
      </c>
      <c r="AC6" s="10">
        <f t="shared" ref="AC6" si="31">(AC8*AC7)*$C$4</f>
        <v>6442.7000000000007</v>
      </c>
      <c r="AD6" s="10">
        <f t="shared" ref="AD6" si="32">(AD8*AD7)*$C$4</f>
        <v>7077.4000000000005</v>
      </c>
      <c r="AE6" s="10">
        <f t="shared" ref="AE6" si="33">(AE8*AE7)*$C$4</f>
        <v>9344.5</v>
      </c>
      <c r="AF6" s="10">
        <f t="shared" ref="AF6" si="34">(AF8*AF7)*$C$4</f>
        <v>9356.6</v>
      </c>
      <c r="AG6" s="10">
        <f t="shared" ref="AG6" si="35">(AG8*AG7)*$C$4</f>
        <v>8954</v>
      </c>
      <c r="AH6" s="10">
        <f t="shared" ref="AH6" si="36">(AH8*AH7)*$C$4</f>
        <v>6920.1</v>
      </c>
      <c r="AI6" s="10">
        <f t="shared" ref="AI6" si="37">(AI8*AI7)*$C$4</f>
        <v>8386.4000000000015</v>
      </c>
      <c r="AL6" s="10">
        <f t="shared" ref="AL6" si="38">(AL8*AL7)*$C$4</f>
        <v>7402</v>
      </c>
      <c r="AM6" s="10">
        <f t="shared" ref="AM6" si="39">(AM8*AM7)*$C$4</f>
        <v>7887</v>
      </c>
      <c r="AN6" s="10">
        <f t="shared" ref="AN6" si="40">(AN8*AN7)*$C$4</f>
        <v>7607</v>
      </c>
      <c r="AO6" s="10">
        <f t="shared" ref="AO6" si="41">(AO8*AO7)*$C$4</f>
        <v>10393</v>
      </c>
      <c r="AP6" s="10">
        <f t="shared" ref="AP6" si="42">(AP8*AP7)*$C$4</f>
        <v>8302</v>
      </c>
      <c r="AQ6" s="10">
        <f t="shared" ref="AQ6" si="43">(AQ8*AQ7)*$C$4</f>
        <v>5857</v>
      </c>
      <c r="AR6" s="10">
        <f t="shared" ref="AR6" si="44">(AR8*AR7)*$C$4</f>
        <v>6434</v>
      </c>
      <c r="AS6" s="10">
        <f t="shared" ref="AS6" si="45">(AS8*AS7)*$C$4</f>
        <v>8495</v>
      </c>
      <c r="AT6" s="10">
        <f t="shared" ref="AT6" si="46">(AT8*AT7)*$C$4</f>
        <v>8506</v>
      </c>
      <c r="AU6" s="10">
        <f t="shared" ref="AU6" si="47">(AU8*AU7)*$C$4</f>
        <v>8140</v>
      </c>
      <c r="AV6" s="10">
        <f t="shared" ref="AV6" si="48">(AV8*AV7)*$C$4</f>
        <v>6291</v>
      </c>
      <c r="AW6" s="10">
        <f t="shared" ref="AW6" si="49">(AW8*AW7)*$C$4</f>
        <v>7624</v>
      </c>
    </row>
    <row r="7" spans="1:49" s="6" customFormat="1" x14ac:dyDescent="0.3">
      <c r="A7" s="5"/>
      <c r="B7" s="5"/>
      <c r="C7" s="5"/>
      <c r="D7" s="5"/>
      <c r="G7" s="11" t="s">
        <v>17</v>
      </c>
      <c r="H7" s="11"/>
      <c r="I7" s="11"/>
      <c r="J7" s="120">
        <v>0.55000000000000004</v>
      </c>
      <c r="K7" s="120">
        <v>0.6</v>
      </c>
      <c r="L7" s="120">
        <v>0.6</v>
      </c>
      <c r="M7" s="120">
        <v>0.65</v>
      </c>
      <c r="N7" s="120">
        <v>0.65</v>
      </c>
      <c r="O7" s="12">
        <v>0.65</v>
      </c>
      <c r="P7" s="12">
        <v>0.7</v>
      </c>
      <c r="Q7" s="12">
        <v>0.75</v>
      </c>
      <c r="R7" s="12">
        <v>0.8</v>
      </c>
      <c r="S7" s="12">
        <v>0.85</v>
      </c>
      <c r="T7" s="12">
        <v>0.9</v>
      </c>
      <c r="U7" s="12">
        <v>1</v>
      </c>
      <c r="X7" s="12">
        <v>0.6</v>
      </c>
      <c r="Y7" s="12">
        <v>1</v>
      </c>
      <c r="Z7" s="12">
        <v>1</v>
      </c>
      <c r="AA7" s="12">
        <v>1</v>
      </c>
      <c r="AB7" s="12">
        <v>1</v>
      </c>
      <c r="AC7" s="12">
        <v>1</v>
      </c>
      <c r="AD7" s="12">
        <v>1</v>
      </c>
      <c r="AE7" s="12">
        <v>1</v>
      </c>
      <c r="AF7" s="12">
        <v>1</v>
      </c>
      <c r="AG7" s="12">
        <v>1</v>
      </c>
      <c r="AH7" s="12">
        <v>1</v>
      </c>
      <c r="AI7" s="12">
        <v>1</v>
      </c>
      <c r="AL7" s="12">
        <v>1</v>
      </c>
      <c r="AM7" s="12">
        <v>1</v>
      </c>
      <c r="AN7" s="12">
        <v>1</v>
      </c>
      <c r="AO7" s="12">
        <v>1</v>
      </c>
      <c r="AP7" s="12">
        <v>1</v>
      </c>
      <c r="AQ7" s="12">
        <v>1</v>
      </c>
      <c r="AR7" s="12">
        <v>1</v>
      </c>
      <c r="AS7" s="12">
        <v>1</v>
      </c>
      <c r="AT7" s="12">
        <v>1</v>
      </c>
      <c r="AU7" s="12">
        <v>1</v>
      </c>
      <c r="AV7" s="12">
        <v>1</v>
      </c>
      <c r="AW7" s="12">
        <v>1</v>
      </c>
    </row>
    <row r="8" spans="1:49" x14ac:dyDescent="0.3">
      <c r="B8" s="123" t="s">
        <v>18</v>
      </c>
      <c r="C8" s="125">
        <v>0.34</v>
      </c>
      <c r="G8" s="4" t="s">
        <v>137</v>
      </c>
      <c r="J8" s="107">
        <v>8142.2000000000007</v>
      </c>
      <c r="K8" s="107">
        <v>8675.7000000000007</v>
      </c>
      <c r="L8" s="107">
        <v>8367.7000000000007</v>
      </c>
      <c r="M8" s="107">
        <v>11432.300000000001</v>
      </c>
      <c r="N8" s="107">
        <v>9132.2000000000007</v>
      </c>
      <c r="O8" s="107">
        <v>6442.7000000000007</v>
      </c>
      <c r="P8" s="107">
        <v>7077.4000000000005</v>
      </c>
      <c r="Q8" s="107">
        <v>9344.5</v>
      </c>
      <c r="R8" s="107">
        <v>9356.6</v>
      </c>
      <c r="S8" s="107">
        <v>8954</v>
      </c>
      <c r="T8" s="107">
        <v>6920.1</v>
      </c>
      <c r="U8" s="107">
        <v>8386.4000000000015</v>
      </c>
      <c r="X8" s="107">
        <v>8142.2000000000007</v>
      </c>
      <c r="Y8" s="107">
        <v>8675.7000000000007</v>
      </c>
      <c r="Z8" s="107">
        <v>8367.7000000000007</v>
      </c>
      <c r="AA8" s="107">
        <v>11432.300000000001</v>
      </c>
      <c r="AB8" s="107">
        <v>9132.2000000000007</v>
      </c>
      <c r="AC8" s="107">
        <v>6442.7000000000007</v>
      </c>
      <c r="AD8" s="107">
        <v>7077.4000000000005</v>
      </c>
      <c r="AE8" s="107">
        <v>9344.5</v>
      </c>
      <c r="AF8" s="107">
        <v>9356.6</v>
      </c>
      <c r="AG8" s="107">
        <v>8954</v>
      </c>
      <c r="AH8" s="107">
        <v>6920.1</v>
      </c>
      <c r="AI8" s="107">
        <v>8386.4000000000015</v>
      </c>
      <c r="AL8" s="107">
        <v>7402</v>
      </c>
      <c r="AM8" s="107">
        <v>7887</v>
      </c>
      <c r="AN8" s="107">
        <v>7607</v>
      </c>
      <c r="AO8" s="107">
        <v>10393</v>
      </c>
      <c r="AP8" s="107">
        <v>8302</v>
      </c>
      <c r="AQ8" s="107">
        <v>5857</v>
      </c>
      <c r="AR8" s="107">
        <v>6434</v>
      </c>
      <c r="AS8" s="107">
        <v>8495</v>
      </c>
      <c r="AT8" s="107">
        <v>8506</v>
      </c>
      <c r="AU8" s="107">
        <v>8140</v>
      </c>
      <c r="AV8" s="107">
        <v>6291</v>
      </c>
      <c r="AW8" s="107">
        <v>7624</v>
      </c>
    </row>
    <row r="9" spans="1:49" x14ac:dyDescent="0.3">
      <c r="X9">
        <f>+X8*1.03</f>
        <v>8386.4660000000003</v>
      </c>
      <c r="Y9">
        <f t="shared" ref="Y9:AI9" si="50">+Y8*1.05</f>
        <v>9109.4850000000006</v>
      </c>
      <c r="Z9">
        <f t="shared" si="50"/>
        <v>8786.0850000000009</v>
      </c>
      <c r="AA9">
        <f t="shared" si="50"/>
        <v>12003.915000000001</v>
      </c>
      <c r="AB9">
        <f t="shared" si="50"/>
        <v>9588.8100000000013</v>
      </c>
      <c r="AC9">
        <f t="shared" si="50"/>
        <v>6764.8350000000009</v>
      </c>
      <c r="AD9">
        <f t="shared" si="50"/>
        <v>7431.27</v>
      </c>
      <c r="AE9">
        <f t="shared" si="50"/>
        <v>9811.7250000000004</v>
      </c>
      <c r="AF9">
        <f t="shared" si="50"/>
        <v>9824.43</v>
      </c>
      <c r="AG9">
        <f t="shared" si="50"/>
        <v>9401.7000000000007</v>
      </c>
      <c r="AH9">
        <f t="shared" si="50"/>
        <v>7266.1050000000005</v>
      </c>
      <c r="AI9">
        <f t="shared" si="50"/>
        <v>8805.7200000000012</v>
      </c>
    </row>
    <row r="10" spans="1:49" x14ac:dyDescent="0.3">
      <c r="B10" s="123" t="s">
        <v>19</v>
      </c>
      <c r="C10" s="126">
        <v>1.4999999999999999E-2</v>
      </c>
      <c r="F10" s="7" t="s">
        <v>20</v>
      </c>
      <c r="G10" s="13"/>
      <c r="H10" s="13"/>
      <c r="I10" s="13"/>
      <c r="J10" s="9">
        <f>SUM(J11:J18)</f>
        <v>69121171.350000024</v>
      </c>
      <c r="K10" s="9">
        <f t="shared" ref="K10:U10" si="51">SUM(K11:K18)</f>
        <v>80345657.700000003</v>
      </c>
      <c r="L10" s="9">
        <f t="shared" si="51"/>
        <v>77493269.700000003</v>
      </c>
      <c r="M10" s="9">
        <f t="shared" si="51"/>
        <v>114697407.82500003</v>
      </c>
      <c r="N10" s="9">
        <f t="shared" si="51"/>
        <v>91621079.549999997</v>
      </c>
      <c r="O10" s="9">
        <f t="shared" si="51"/>
        <v>64637998.425000012</v>
      </c>
      <c r="P10" s="9">
        <f t="shared" si="51"/>
        <v>76467768.299999997</v>
      </c>
      <c r="Q10" s="9">
        <f t="shared" si="51"/>
        <v>108174268.125</v>
      </c>
      <c r="R10" s="9">
        <f t="shared" si="51"/>
        <v>115535296.80000001</v>
      </c>
      <c r="S10" s="9">
        <f t="shared" si="51"/>
        <v>117474241.5</v>
      </c>
      <c r="T10" s="9">
        <f t="shared" si="51"/>
        <v>96130569.150000006</v>
      </c>
      <c r="U10" s="9">
        <f t="shared" si="51"/>
        <v>129444084.00000003</v>
      </c>
      <c r="W10" s="13"/>
      <c r="X10" s="9">
        <f>SUM(X11:X18)</f>
        <v>75404914.200000018</v>
      </c>
      <c r="Y10" s="9">
        <f t="shared" ref="Y10:AI10" si="52">SUM(Y11:Y18)</f>
        <v>133909429.5</v>
      </c>
      <c r="Z10" s="9">
        <f t="shared" si="52"/>
        <v>129155449.50000001</v>
      </c>
      <c r="AA10" s="9">
        <f t="shared" si="52"/>
        <v>176457550.50000003</v>
      </c>
      <c r="AB10" s="9">
        <f t="shared" si="52"/>
        <v>140955507</v>
      </c>
      <c r="AC10" s="9">
        <f t="shared" si="52"/>
        <v>99443074.500000015</v>
      </c>
      <c r="AD10" s="9">
        <f t="shared" si="52"/>
        <v>109239669.00000001</v>
      </c>
      <c r="AE10" s="9">
        <f t="shared" si="52"/>
        <v>144232357.5</v>
      </c>
      <c r="AF10" s="9">
        <f t="shared" si="52"/>
        <v>144419121</v>
      </c>
      <c r="AG10" s="9">
        <f t="shared" si="52"/>
        <v>138204990</v>
      </c>
      <c r="AH10" s="9">
        <f t="shared" si="52"/>
        <v>106811743.5</v>
      </c>
      <c r="AI10" s="9">
        <f t="shared" si="52"/>
        <v>129444084.00000003</v>
      </c>
      <c r="AK10" s="13"/>
      <c r="AL10" s="9">
        <f>SUM(AL11:AL18)</f>
        <v>114249870</v>
      </c>
      <c r="AM10" s="9">
        <f t="shared" ref="AM10:AW10" si="53">SUM(AM11:AM18)</f>
        <v>121735845</v>
      </c>
      <c r="AN10" s="9">
        <f t="shared" si="53"/>
        <v>117414045</v>
      </c>
      <c r="AO10" s="9">
        <f t="shared" si="53"/>
        <v>160415955</v>
      </c>
      <c r="AP10" s="9">
        <f t="shared" si="53"/>
        <v>128141370</v>
      </c>
      <c r="AQ10" s="9">
        <f t="shared" si="53"/>
        <v>90402795</v>
      </c>
      <c r="AR10" s="9">
        <f t="shared" si="53"/>
        <v>99308790</v>
      </c>
      <c r="AS10" s="9">
        <f t="shared" si="53"/>
        <v>131120325</v>
      </c>
      <c r="AT10" s="9">
        <f t="shared" si="53"/>
        <v>131290110</v>
      </c>
      <c r="AU10" s="9">
        <f t="shared" si="53"/>
        <v>125640900</v>
      </c>
      <c r="AV10" s="9">
        <f t="shared" si="53"/>
        <v>97101585</v>
      </c>
      <c r="AW10" s="9">
        <f t="shared" si="53"/>
        <v>117676440</v>
      </c>
    </row>
    <row r="11" spans="1:49" x14ac:dyDescent="0.3">
      <c r="F11" t="s">
        <v>62</v>
      </c>
      <c r="G11" t="s">
        <v>21</v>
      </c>
      <c r="J11" s="14">
        <f>J5*$C$8</f>
        <v>47961629.100000016</v>
      </c>
      <c r="K11" s="14">
        <f t="shared" ref="K11:U11" si="54">K5*$C$8</f>
        <v>55750048.200000003</v>
      </c>
      <c r="L11" s="14">
        <f t="shared" si="54"/>
        <v>53770840.200000003</v>
      </c>
      <c r="M11" s="14">
        <f t="shared" si="54"/>
        <v>79585956.450000018</v>
      </c>
      <c r="N11" s="14">
        <f t="shared" si="54"/>
        <v>63573810.300000004</v>
      </c>
      <c r="O11" s="14">
        <f t="shared" si="54"/>
        <v>44850856.050000012</v>
      </c>
      <c r="P11" s="14">
        <f t="shared" si="54"/>
        <v>53059267.800000004</v>
      </c>
      <c r="Q11" s="14">
        <f t="shared" si="54"/>
        <v>75059696.25</v>
      </c>
      <c r="R11" s="14">
        <f t="shared" si="54"/>
        <v>80167348.800000012</v>
      </c>
      <c r="S11" s="14">
        <f t="shared" si="54"/>
        <v>81512739</v>
      </c>
      <c r="T11" s="14">
        <f t="shared" si="54"/>
        <v>66702843.900000006</v>
      </c>
      <c r="U11" s="14">
        <f t="shared" si="54"/>
        <v>89818344.00000003</v>
      </c>
      <c r="X11" s="14">
        <f>X5*$C$8</f>
        <v>52321777.20000001</v>
      </c>
      <c r="Y11" s="14">
        <f t="shared" ref="Y11:AI11" si="55">Y5*$C$8</f>
        <v>92916747</v>
      </c>
      <c r="Z11" s="14">
        <f t="shared" si="55"/>
        <v>89618067.000000015</v>
      </c>
      <c r="AA11" s="14">
        <f t="shared" si="55"/>
        <v>122439933.00000003</v>
      </c>
      <c r="AB11" s="14">
        <f t="shared" si="55"/>
        <v>97805862</v>
      </c>
      <c r="AC11" s="14">
        <f t="shared" si="55"/>
        <v>69001317.000000015</v>
      </c>
      <c r="AD11" s="14">
        <f t="shared" si="55"/>
        <v>75798954.000000015</v>
      </c>
      <c r="AE11" s="14">
        <f t="shared" si="55"/>
        <v>100079595</v>
      </c>
      <c r="AF11" s="14">
        <f t="shared" si="55"/>
        <v>100209186</v>
      </c>
      <c r="AG11" s="14">
        <f t="shared" si="55"/>
        <v>95897340</v>
      </c>
      <c r="AH11" s="14">
        <f t="shared" si="55"/>
        <v>74114271</v>
      </c>
      <c r="AI11" s="14">
        <f t="shared" si="55"/>
        <v>89818344.00000003</v>
      </c>
      <c r="AL11" s="14">
        <f>AL5*$C$8</f>
        <v>79275420</v>
      </c>
      <c r="AM11" s="14">
        <f t="shared" ref="AM11:AW11" si="56">AM5*$C$8</f>
        <v>84469770</v>
      </c>
      <c r="AN11" s="14">
        <f t="shared" si="56"/>
        <v>81470970</v>
      </c>
      <c r="AO11" s="14">
        <f t="shared" si="56"/>
        <v>111309030.00000001</v>
      </c>
      <c r="AP11" s="14">
        <f t="shared" si="56"/>
        <v>88914420</v>
      </c>
      <c r="AQ11" s="14">
        <f t="shared" si="56"/>
        <v>62728470.000000007</v>
      </c>
      <c r="AR11" s="14">
        <f t="shared" si="56"/>
        <v>68908140</v>
      </c>
      <c r="AS11" s="14">
        <f t="shared" si="56"/>
        <v>90981450</v>
      </c>
      <c r="AT11" s="14">
        <f t="shared" si="56"/>
        <v>91099260</v>
      </c>
      <c r="AU11" s="14">
        <f t="shared" si="56"/>
        <v>87179400</v>
      </c>
      <c r="AV11" s="14">
        <f t="shared" si="56"/>
        <v>67376610</v>
      </c>
      <c r="AW11" s="14">
        <f t="shared" si="56"/>
        <v>81653040</v>
      </c>
    </row>
    <row r="12" spans="1:49" x14ac:dyDescent="0.3">
      <c r="B12" s="123" t="s">
        <v>22</v>
      </c>
      <c r="C12" s="127">
        <v>2.5000000000000001E-3</v>
      </c>
      <c r="F12" t="s">
        <v>62</v>
      </c>
      <c r="G12" t="s">
        <v>23</v>
      </c>
      <c r="J12" s="14">
        <f>J5*$C$10</f>
        <v>2115954.2250000006</v>
      </c>
      <c r="K12" s="14">
        <f t="shared" ref="K12:U12" si="57">K5*$C$10</f>
        <v>2459560.9499999997</v>
      </c>
      <c r="L12" s="14">
        <f t="shared" si="57"/>
        <v>2372242.9499999997</v>
      </c>
      <c r="M12" s="14">
        <f t="shared" si="57"/>
        <v>3511145.1375000002</v>
      </c>
      <c r="N12" s="14">
        <f t="shared" si="57"/>
        <v>2804726.9249999998</v>
      </c>
      <c r="O12" s="14">
        <f t="shared" si="57"/>
        <v>1978714.2375000003</v>
      </c>
      <c r="P12" s="14">
        <f t="shared" si="57"/>
        <v>2340850.0499999998</v>
      </c>
      <c r="Q12" s="14">
        <f t="shared" si="57"/>
        <v>3311457.1875</v>
      </c>
      <c r="R12" s="14">
        <f t="shared" si="57"/>
        <v>3536794.8000000003</v>
      </c>
      <c r="S12" s="14">
        <f t="shared" si="57"/>
        <v>3596150.25</v>
      </c>
      <c r="T12" s="14">
        <f t="shared" si="57"/>
        <v>2942772.5249999999</v>
      </c>
      <c r="U12" s="14">
        <f t="shared" si="57"/>
        <v>3962574.0000000009</v>
      </c>
      <c r="X12" s="14">
        <f>X5*$C$10</f>
        <v>2308313.7000000002</v>
      </c>
      <c r="Y12" s="14">
        <f t="shared" ref="Y12:AI12" si="58">Y5*$C$10</f>
        <v>4099268.25</v>
      </c>
      <c r="Z12" s="14">
        <f t="shared" si="58"/>
        <v>3953738.2500000005</v>
      </c>
      <c r="AA12" s="14">
        <f t="shared" si="58"/>
        <v>5401761.7500000009</v>
      </c>
      <c r="AB12" s="14">
        <f t="shared" si="58"/>
        <v>4314964.5</v>
      </c>
      <c r="AC12" s="14">
        <f t="shared" si="58"/>
        <v>3044175.7500000005</v>
      </c>
      <c r="AD12" s="14">
        <f t="shared" si="58"/>
        <v>3344071.5000000005</v>
      </c>
      <c r="AE12" s="14">
        <f t="shared" si="58"/>
        <v>4415276.25</v>
      </c>
      <c r="AF12" s="14">
        <f t="shared" si="58"/>
        <v>4420993.5</v>
      </c>
      <c r="AG12" s="14">
        <f t="shared" si="58"/>
        <v>4230765</v>
      </c>
      <c r="AH12" s="14">
        <f t="shared" si="58"/>
        <v>3269747.25</v>
      </c>
      <c r="AI12" s="14">
        <f t="shared" si="58"/>
        <v>3962574.0000000009</v>
      </c>
      <c r="AL12" s="14">
        <f>AL5*$C$10</f>
        <v>3497445</v>
      </c>
      <c r="AM12" s="14">
        <f t="shared" ref="AM12:AW12" si="59">AM5*$C$10</f>
        <v>3726607.5</v>
      </c>
      <c r="AN12" s="14">
        <f t="shared" si="59"/>
        <v>3594307.5</v>
      </c>
      <c r="AO12" s="14">
        <f t="shared" si="59"/>
        <v>4910692.5</v>
      </c>
      <c r="AP12" s="14">
        <f t="shared" si="59"/>
        <v>3922695</v>
      </c>
      <c r="AQ12" s="14">
        <f t="shared" si="59"/>
        <v>2767432.5</v>
      </c>
      <c r="AR12" s="14">
        <f t="shared" si="59"/>
        <v>3040065</v>
      </c>
      <c r="AS12" s="14">
        <f t="shared" si="59"/>
        <v>4013887.5</v>
      </c>
      <c r="AT12" s="14">
        <f t="shared" si="59"/>
        <v>4019085</v>
      </c>
      <c r="AU12" s="14">
        <f t="shared" si="59"/>
        <v>3846150</v>
      </c>
      <c r="AV12" s="14">
        <f t="shared" si="59"/>
        <v>2972497.5</v>
      </c>
      <c r="AW12" s="14">
        <f t="shared" si="59"/>
        <v>3602340</v>
      </c>
    </row>
    <row r="13" spans="1:49" x14ac:dyDescent="0.3">
      <c r="F13" t="s">
        <v>62</v>
      </c>
      <c r="G13" t="s">
        <v>24</v>
      </c>
      <c r="J13" s="14">
        <f>J5*$C$12</f>
        <v>352659.03750000009</v>
      </c>
      <c r="K13" s="14">
        <f t="shared" ref="K13:U13" si="60">K5*$C$12</f>
        <v>409926.82500000001</v>
      </c>
      <c r="L13" s="14">
        <f t="shared" si="60"/>
        <v>395373.82500000001</v>
      </c>
      <c r="M13" s="14">
        <f t="shared" si="60"/>
        <v>585190.85625000007</v>
      </c>
      <c r="N13" s="14">
        <f t="shared" si="60"/>
        <v>467454.48749999999</v>
      </c>
      <c r="O13" s="14">
        <f t="shared" si="60"/>
        <v>329785.7062500001</v>
      </c>
      <c r="P13" s="14">
        <f t="shared" si="60"/>
        <v>390141.67499999999</v>
      </c>
      <c r="Q13" s="14">
        <f t="shared" si="60"/>
        <v>551909.53125</v>
      </c>
      <c r="R13" s="14">
        <f t="shared" si="60"/>
        <v>589465.80000000005</v>
      </c>
      <c r="S13" s="14">
        <f t="shared" si="60"/>
        <v>599358.375</v>
      </c>
      <c r="T13" s="14">
        <f t="shared" si="60"/>
        <v>490462.08750000002</v>
      </c>
      <c r="U13" s="14">
        <f t="shared" si="60"/>
        <v>660429.00000000012</v>
      </c>
      <c r="X13" s="14">
        <f>X5*$C$12</f>
        <v>384718.95000000007</v>
      </c>
      <c r="Y13" s="14">
        <f t="shared" ref="Y13:AI13" si="61">Y5*$C$12</f>
        <v>683211.375</v>
      </c>
      <c r="Z13" s="14">
        <f t="shared" si="61"/>
        <v>658956.37500000012</v>
      </c>
      <c r="AA13" s="14">
        <f t="shared" si="61"/>
        <v>900293.62500000012</v>
      </c>
      <c r="AB13" s="14">
        <f t="shared" si="61"/>
        <v>719160.75</v>
      </c>
      <c r="AC13" s="14">
        <f t="shared" si="61"/>
        <v>507362.62500000006</v>
      </c>
      <c r="AD13" s="14">
        <f t="shared" si="61"/>
        <v>557345.25000000012</v>
      </c>
      <c r="AE13" s="14">
        <f t="shared" si="61"/>
        <v>735879.375</v>
      </c>
      <c r="AF13" s="14">
        <f t="shared" si="61"/>
        <v>736832.25</v>
      </c>
      <c r="AG13" s="14">
        <f t="shared" si="61"/>
        <v>705127.5</v>
      </c>
      <c r="AH13" s="14">
        <f t="shared" si="61"/>
        <v>544957.875</v>
      </c>
      <c r="AI13" s="14">
        <f t="shared" si="61"/>
        <v>660429.00000000012</v>
      </c>
      <c r="AL13" s="14">
        <f>AL5*$C$12</f>
        <v>582907.5</v>
      </c>
      <c r="AM13" s="14">
        <f t="shared" ref="AM13:AW13" si="62">AM5*$C$12</f>
        <v>621101.25</v>
      </c>
      <c r="AN13" s="14">
        <f t="shared" si="62"/>
        <v>599051.25</v>
      </c>
      <c r="AO13" s="14">
        <f t="shared" si="62"/>
        <v>818448.75</v>
      </c>
      <c r="AP13" s="14">
        <f t="shared" si="62"/>
        <v>653782.5</v>
      </c>
      <c r="AQ13" s="14">
        <f t="shared" si="62"/>
        <v>461238.75</v>
      </c>
      <c r="AR13" s="14">
        <f t="shared" si="62"/>
        <v>506677.5</v>
      </c>
      <c r="AS13" s="14">
        <f t="shared" si="62"/>
        <v>668981.25</v>
      </c>
      <c r="AT13" s="14">
        <f t="shared" si="62"/>
        <v>669847.5</v>
      </c>
      <c r="AU13" s="14">
        <f t="shared" si="62"/>
        <v>641025</v>
      </c>
      <c r="AV13" s="14">
        <f t="shared" si="62"/>
        <v>495416.25</v>
      </c>
      <c r="AW13" s="14">
        <f t="shared" si="62"/>
        <v>600390</v>
      </c>
    </row>
    <row r="14" spans="1:49" x14ac:dyDescent="0.3">
      <c r="B14" s="123" t="s">
        <v>25</v>
      </c>
      <c r="C14" s="125">
        <v>0.11</v>
      </c>
      <c r="G14" s="22" t="s">
        <v>191</v>
      </c>
      <c r="H14" s="22"/>
      <c r="I14" s="22"/>
      <c r="J14" s="44">
        <f>J5*$C$14</f>
        <v>15516997.650000004</v>
      </c>
      <c r="K14" s="44">
        <f t="shared" ref="K14:U14" si="63">K5*$C$14</f>
        <v>18036780.300000001</v>
      </c>
      <c r="L14" s="44">
        <f t="shared" si="63"/>
        <v>17396448.300000001</v>
      </c>
      <c r="M14" s="44">
        <f t="shared" si="63"/>
        <v>25748397.675000004</v>
      </c>
      <c r="N14" s="44">
        <f t="shared" si="63"/>
        <v>20567997.449999999</v>
      </c>
      <c r="O14" s="44">
        <f t="shared" si="63"/>
        <v>14510571.075000003</v>
      </c>
      <c r="P14" s="44">
        <f t="shared" si="63"/>
        <v>17166233.699999999</v>
      </c>
      <c r="Q14" s="44">
        <f t="shared" si="63"/>
        <v>24284019.375</v>
      </c>
      <c r="R14" s="44">
        <f t="shared" si="63"/>
        <v>25936495.200000003</v>
      </c>
      <c r="S14" s="44">
        <f t="shared" si="63"/>
        <v>26371768.5</v>
      </c>
      <c r="T14" s="44">
        <f t="shared" si="63"/>
        <v>21580331.850000001</v>
      </c>
      <c r="U14" s="44">
        <f t="shared" si="63"/>
        <v>29058876.000000007</v>
      </c>
      <c r="X14" s="14">
        <f>X5*$C$14</f>
        <v>16927633.800000004</v>
      </c>
      <c r="Y14" s="14">
        <f t="shared" ref="Y14:AI14" si="64">Y5*$C$14</f>
        <v>30061300.5</v>
      </c>
      <c r="Z14" s="14">
        <f t="shared" si="64"/>
        <v>28994080.500000004</v>
      </c>
      <c r="AA14" s="14">
        <f t="shared" si="64"/>
        <v>39612919.500000007</v>
      </c>
      <c r="AB14" s="14">
        <f t="shared" si="64"/>
        <v>31643073</v>
      </c>
      <c r="AC14" s="14">
        <f t="shared" si="64"/>
        <v>22323955.500000004</v>
      </c>
      <c r="AD14" s="14">
        <f t="shared" si="64"/>
        <v>24523191.000000004</v>
      </c>
      <c r="AE14" s="14">
        <f t="shared" si="64"/>
        <v>32378692.5</v>
      </c>
      <c r="AF14" s="14">
        <f t="shared" si="64"/>
        <v>32420619</v>
      </c>
      <c r="AG14" s="14">
        <f t="shared" si="64"/>
        <v>31025610</v>
      </c>
      <c r="AH14" s="14">
        <f t="shared" si="64"/>
        <v>23978146.5</v>
      </c>
      <c r="AI14" s="14">
        <f t="shared" si="64"/>
        <v>29058876.000000007</v>
      </c>
      <c r="AL14" s="14">
        <f>AL5*$C$14</f>
        <v>25647930</v>
      </c>
      <c r="AM14" s="14">
        <f t="shared" ref="AM14:AW14" si="65">AM5*$C$14</f>
        <v>27328455</v>
      </c>
      <c r="AN14" s="14">
        <f t="shared" si="65"/>
        <v>26358255</v>
      </c>
      <c r="AO14" s="14">
        <f t="shared" si="65"/>
        <v>36011745</v>
      </c>
      <c r="AP14" s="14">
        <f t="shared" si="65"/>
        <v>28766430</v>
      </c>
      <c r="AQ14" s="14">
        <f t="shared" si="65"/>
        <v>20294505</v>
      </c>
      <c r="AR14" s="14">
        <f t="shared" si="65"/>
        <v>22293810</v>
      </c>
      <c r="AS14" s="14">
        <f t="shared" si="65"/>
        <v>29435175</v>
      </c>
      <c r="AT14" s="14">
        <f t="shared" si="65"/>
        <v>29473290</v>
      </c>
      <c r="AU14" s="14">
        <f t="shared" si="65"/>
        <v>28205100</v>
      </c>
      <c r="AV14" s="14">
        <f t="shared" si="65"/>
        <v>21798315</v>
      </c>
      <c r="AW14" s="14">
        <f t="shared" si="65"/>
        <v>26417160</v>
      </c>
    </row>
    <row r="15" spans="1:49" x14ac:dyDescent="0.3">
      <c r="F15" t="s">
        <v>62</v>
      </c>
      <c r="G15" t="s">
        <v>26</v>
      </c>
      <c r="J15" s="14">
        <f t="shared" ref="J15:U15" si="66">J5*$C$20</f>
        <v>1410636.1500000004</v>
      </c>
      <c r="K15" s="14">
        <f t="shared" si="66"/>
        <v>1639707.3</v>
      </c>
      <c r="L15" s="14">
        <f t="shared" si="66"/>
        <v>1581495.3</v>
      </c>
      <c r="M15" s="14">
        <f t="shared" si="66"/>
        <v>2340763.4250000003</v>
      </c>
      <c r="N15" s="14">
        <f t="shared" si="66"/>
        <v>1869817.95</v>
      </c>
      <c r="O15" s="14">
        <f t="shared" si="66"/>
        <v>1319142.8250000004</v>
      </c>
      <c r="P15" s="14">
        <f t="shared" si="66"/>
        <v>1560566.7</v>
      </c>
      <c r="Q15" s="14">
        <f t="shared" si="66"/>
        <v>2207638.125</v>
      </c>
      <c r="R15" s="14">
        <f t="shared" si="66"/>
        <v>2357863.2000000002</v>
      </c>
      <c r="S15" s="14">
        <f t="shared" si="66"/>
        <v>2397433.5</v>
      </c>
      <c r="T15" s="14">
        <f t="shared" si="66"/>
        <v>1961848.35</v>
      </c>
      <c r="U15" s="14">
        <f t="shared" si="66"/>
        <v>2641716.0000000005</v>
      </c>
      <c r="X15" s="14">
        <f t="shared" ref="X15:AI15" si="67">X5*$C$20</f>
        <v>1538875.8000000003</v>
      </c>
      <c r="Y15" s="14">
        <f t="shared" si="67"/>
        <v>2732845.5</v>
      </c>
      <c r="Z15" s="14">
        <f t="shared" si="67"/>
        <v>2635825.5000000005</v>
      </c>
      <c r="AA15" s="14">
        <f t="shared" si="67"/>
        <v>3601174.5000000005</v>
      </c>
      <c r="AB15" s="14">
        <f t="shared" si="67"/>
        <v>2876643</v>
      </c>
      <c r="AC15" s="14">
        <f t="shared" si="67"/>
        <v>2029450.5000000002</v>
      </c>
      <c r="AD15" s="14">
        <f t="shared" si="67"/>
        <v>2229381.0000000005</v>
      </c>
      <c r="AE15" s="14">
        <f t="shared" si="67"/>
        <v>2943517.5</v>
      </c>
      <c r="AF15" s="14">
        <f t="shared" si="67"/>
        <v>2947329</v>
      </c>
      <c r="AG15" s="14">
        <f t="shared" si="67"/>
        <v>2820510</v>
      </c>
      <c r="AH15" s="14">
        <f t="shared" si="67"/>
        <v>2179831.5</v>
      </c>
      <c r="AI15" s="14">
        <f t="shared" si="67"/>
        <v>2641716.0000000005</v>
      </c>
      <c r="AL15" s="14">
        <f t="shared" ref="AL15:AW15" si="68">AL5*$C$20</f>
        <v>2331630</v>
      </c>
      <c r="AM15" s="14">
        <f t="shared" si="68"/>
        <v>2484405</v>
      </c>
      <c r="AN15" s="14">
        <f t="shared" si="68"/>
        <v>2396205</v>
      </c>
      <c r="AO15" s="14">
        <f t="shared" si="68"/>
        <v>3273795</v>
      </c>
      <c r="AP15" s="14">
        <f t="shared" si="68"/>
        <v>2615130</v>
      </c>
      <c r="AQ15" s="14">
        <f t="shared" si="68"/>
        <v>1844955</v>
      </c>
      <c r="AR15" s="14">
        <f t="shared" si="68"/>
        <v>2026710</v>
      </c>
      <c r="AS15" s="14">
        <f t="shared" si="68"/>
        <v>2675925</v>
      </c>
      <c r="AT15" s="14">
        <f t="shared" si="68"/>
        <v>2679390</v>
      </c>
      <c r="AU15" s="14">
        <f t="shared" si="68"/>
        <v>2564100</v>
      </c>
      <c r="AV15" s="14">
        <f t="shared" si="68"/>
        <v>1981665</v>
      </c>
      <c r="AW15" s="14">
        <f t="shared" si="68"/>
        <v>2401560</v>
      </c>
    </row>
    <row r="16" spans="1:49" x14ac:dyDescent="0.3">
      <c r="B16" s="123" t="s">
        <v>27</v>
      </c>
      <c r="C16" s="156">
        <v>2000000</v>
      </c>
      <c r="F16" t="s">
        <v>62</v>
      </c>
      <c r="G16" t="s">
        <v>28</v>
      </c>
      <c r="J16" s="14">
        <f t="shared" ref="J16:U16" si="69">J5*$C$26</f>
        <v>352659.03750000009</v>
      </c>
      <c r="K16" s="14">
        <f t="shared" si="69"/>
        <v>409926.82500000001</v>
      </c>
      <c r="L16" s="14">
        <f t="shared" si="69"/>
        <v>395373.82500000001</v>
      </c>
      <c r="M16" s="14">
        <f t="shared" si="69"/>
        <v>585190.85625000007</v>
      </c>
      <c r="N16" s="14">
        <f t="shared" si="69"/>
        <v>467454.48749999999</v>
      </c>
      <c r="O16" s="14">
        <f t="shared" si="69"/>
        <v>329785.7062500001</v>
      </c>
      <c r="P16" s="14">
        <f t="shared" si="69"/>
        <v>390141.67499999999</v>
      </c>
      <c r="Q16" s="14">
        <f t="shared" si="69"/>
        <v>551909.53125</v>
      </c>
      <c r="R16" s="14">
        <f t="shared" si="69"/>
        <v>589465.80000000005</v>
      </c>
      <c r="S16" s="14">
        <f t="shared" si="69"/>
        <v>599358.375</v>
      </c>
      <c r="T16" s="14">
        <f t="shared" si="69"/>
        <v>490462.08750000002</v>
      </c>
      <c r="U16" s="14">
        <f t="shared" si="69"/>
        <v>660429.00000000012</v>
      </c>
      <c r="X16" s="14">
        <f t="shared" ref="X16:AI16" si="70">X5*$C$26</f>
        <v>384718.95000000007</v>
      </c>
      <c r="Y16" s="14">
        <f t="shared" si="70"/>
        <v>683211.375</v>
      </c>
      <c r="Z16" s="14">
        <f t="shared" si="70"/>
        <v>658956.37500000012</v>
      </c>
      <c r="AA16" s="14">
        <f t="shared" si="70"/>
        <v>900293.62500000012</v>
      </c>
      <c r="AB16" s="14">
        <f t="shared" si="70"/>
        <v>719160.75</v>
      </c>
      <c r="AC16" s="14">
        <f t="shared" si="70"/>
        <v>507362.62500000006</v>
      </c>
      <c r="AD16" s="14">
        <f t="shared" si="70"/>
        <v>557345.25000000012</v>
      </c>
      <c r="AE16" s="14">
        <f t="shared" si="70"/>
        <v>735879.375</v>
      </c>
      <c r="AF16" s="14">
        <f t="shared" si="70"/>
        <v>736832.25</v>
      </c>
      <c r="AG16" s="14">
        <f t="shared" si="70"/>
        <v>705127.5</v>
      </c>
      <c r="AH16" s="14">
        <f t="shared" si="70"/>
        <v>544957.875</v>
      </c>
      <c r="AI16" s="14">
        <f t="shared" si="70"/>
        <v>660429.00000000012</v>
      </c>
      <c r="AL16" s="14">
        <f t="shared" ref="AL16:AW16" si="71">AL5*$C$26</f>
        <v>582907.5</v>
      </c>
      <c r="AM16" s="14">
        <f t="shared" si="71"/>
        <v>621101.25</v>
      </c>
      <c r="AN16" s="14">
        <f t="shared" si="71"/>
        <v>599051.25</v>
      </c>
      <c r="AO16" s="14">
        <f t="shared" si="71"/>
        <v>818448.75</v>
      </c>
      <c r="AP16" s="14">
        <f t="shared" si="71"/>
        <v>653782.5</v>
      </c>
      <c r="AQ16" s="14">
        <f t="shared" si="71"/>
        <v>461238.75</v>
      </c>
      <c r="AR16" s="14">
        <f t="shared" si="71"/>
        <v>506677.5</v>
      </c>
      <c r="AS16" s="14">
        <f t="shared" si="71"/>
        <v>668981.25</v>
      </c>
      <c r="AT16" s="14">
        <f t="shared" si="71"/>
        <v>669847.5</v>
      </c>
      <c r="AU16" s="14">
        <f t="shared" si="71"/>
        <v>641025</v>
      </c>
      <c r="AV16" s="14">
        <f t="shared" si="71"/>
        <v>495416.25</v>
      </c>
      <c r="AW16" s="14">
        <f t="shared" si="71"/>
        <v>600390</v>
      </c>
    </row>
    <row r="17" spans="2:49" x14ac:dyDescent="0.3">
      <c r="B17" s="121"/>
      <c r="C17" s="122"/>
      <c r="F17" t="s">
        <v>62</v>
      </c>
      <c r="G17" t="s">
        <v>29</v>
      </c>
      <c r="J17" s="14">
        <f t="shared" ref="J17:U17" si="72">J5*$C$28</f>
        <v>1410636.1500000004</v>
      </c>
      <c r="K17" s="14">
        <f t="shared" si="72"/>
        <v>1639707.3</v>
      </c>
      <c r="L17" s="14">
        <f t="shared" si="72"/>
        <v>1581495.3</v>
      </c>
      <c r="M17" s="14">
        <f t="shared" si="72"/>
        <v>2340763.4250000003</v>
      </c>
      <c r="N17" s="14">
        <f t="shared" si="72"/>
        <v>1869817.95</v>
      </c>
      <c r="O17" s="14">
        <f t="shared" si="72"/>
        <v>1319142.8250000004</v>
      </c>
      <c r="P17" s="14">
        <f t="shared" si="72"/>
        <v>1560566.7</v>
      </c>
      <c r="Q17" s="14">
        <f t="shared" si="72"/>
        <v>2207638.125</v>
      </c>
      <c r="R17" s="14">
        <f t="shared" si="72"/>
        <v>2357863.2000000002</v>
      </c>
      <c r="S17" s="14">
        <f t="shared" si="72"/>
        <v>2397433.5</v>
      </c>
      <c r="T17" s="14">
        <f t="shared" si="72"/>
        <v>1961848.35</v>
      </c>
      <c r="U17" s="14">
        <f t="shared" si="72"/>
        <v>2641716.0000000005</v>
      </c>
      <c r="X17" s="14">
        <f t="shared" ref="X17:AI17" si="73">X5*$C$28</f>
        <v>1538875.8000000003</v>
      </c>
      <c r="Y17" s="14">
        <f t="shared" si="73"/>
        <v>2732845.5</v>
      </c>
      <c r="Z17" s="14">
        <f t="shared" si="73"/>
        <v>2635825.5000000005</v>
      </c>
      <c r="AA17" s="14">
        <f t="shared" si="73"/>
        <v>3601174.5000000005</v>
      </c>
      <c r="AB17" s="14">
        <f t="shared" si="73"/>
        <v>2876643</v>
      </c>
      <c r="AC17" s="14">
        <f t="shared" si="73"/>
        <v>2029450.5000000002</v>
      </c>
      <c r="AD17" s="14">
        <f t="shared" si="73"/>
        <v>2229381.0000000005</v>
      </c>
      <c r="AE17" s="14">
        <f t="shared" si="73"/>
        <v>2943517.5</v>
      </c>
      <c r="AF17" s="14">
        <f t="shared" si="73"/>
        <v>2947329</v>
      </c>
      <c r="AG17" s="14">
        <f t="shared" si="73"/>
        <v>2820510</v>
      </c>
      <c r="AH17" s="14">
        <f t="shared" si="73"/>
        <v>2179831.5</v>
      </c>
      <c r="AI17" s="14">
        <f t="shared" si="73"/>
        <v>2641716.0000000005</v>
      </c>
      <c r="AL17" s="14">
        <f t="shared" ref="AL17:AW17" si="74">AL5*$C$28</f>
        <v>2331630</v>
      </c>
      <c r="AM17" s="14">
        <f t="shared" si="74"/>
        <v>2484405</v>
      </c>
      <c r="AN17" s="14">
        <f t="shared" si="74"/>
        <v>2396205</v>
      </c>
      <c r="AO17" s="14">
        <f t="shared" si="74"/>
        <v>3273795</v>
      </c>
      <c r="AP17" s="14">
        <f t="shared" si="74"/>
        <v>2615130</v>
      </c>
      <c r="AQ17" s="14">
        <f t="shared" si="74"/>
        <v>1844955</v>
      </c>
      <c r="AR17" s="14">
        <f t="shared" si="74"/>
        <v>2026710</v>
      </c>
      <c r="AS17" s="14">
        <f t="shared" si="74"/>
        <v>2675925</v>
      </c>
      <c r="AT17" s="14">
        <f t="shared" si="74"/>
        <v>2679390</v>
      </c>
      <c r="AU17" s="14">
        <f t="shared" si="74"/>
        <v>2564100</v>
      </c>
      <c r="AV17" s="14">
        <f t="shared" si="74"/>
        <v>1981665</v>
      </c>
      <c r="AW17" s="14">
        <f t="shared" si="74"/>
        <v>2401560</v>
      </c>
    </row>
    <row r="18" spans="2:49" x14ac:dyDescent="0.3">
      <c r="B18" s="123" t="s">
        <v>190</v>
      </c>
      <c r="C18" s="124">
        <v>60000000</v>
      </c>
    </row>
    <row r="19" spans="2:49" x14ac:dyDescent="0.3">
      <c r="F19" s="15" t="s">
        <v>30</v>
      </c>
      <c r="G19" s="16"/>
      <c r="H19" s="17" t="s">
        <v>31</v>
      </c>
      <c r="I19" s="17"/>
      <c r="J19" s="18">
        <f>J5-J10</f>
        <v>71942443.650000006</v>
      </c>
      <c r="K19" s="18">
        <f t="shared" ref="K19:U19" si="75">K5-K10</f>
        <v>83625072.299999997</v>
      </c>
      <c r="L19" s="18">
        <f t="shared" si="75"/>
        <v>80656260.299999997</v>
      </c>
      <c r="M19" s="18">
        <f t="shared" si="75"/>
        <v>119378934.675</v>
      </c>
      <c r="N19" s="18">
        <f t="shared" si="75"/>
        <v>95360715.450000003</v>
      </c>
      <c r="O19" s="18">
        <f t="shared" si="75"/>
        <v>67276284.075000018</v>
      </c>
      <c r="P19" s="18">
        <f t="shared" si="75"/>
        <v>79588901.700000003</v>
      </c>
      <c r="Q19" s="18">
        <f t="shared" si="75"/>
        <v>112589544.375</v>
      </c>
      <c r="R19" s="18">
        <f t="shared" si="75"/>
        <v>120251023.20000002</v>
      </c>
      <c r="S19" s="18">
        <f t="shared" si="75"/>
        <v>122269108.5</v>
      </c>
      <c r="T19" s="18">
        <f t="shared" si="75"/>
        <v>100054265.84999999</v>
      </c>
      <c r="U19" s="18">
        <f t="shared" si="75"/>
        <v>134727516.00000003</v>
      </c>
      <c r="W19" s="17" t="s">
        <v>31</v>
      </c>
      <c r="X19" s="18">
        <f>X5-X10</f>
        <v>78482665.800000012</v>
      </c>
      <c r="Y19" s="18">
        <f t="shared" ref="Y19:AI19" si="76">Y5-Y10</f>
        <v>139375120.5</v>
      </c>
      <c r="Z19" s="18">
        <f t="shared" si="76"/>
        <v>134427100.5</v>
      </c>
      <c r="AA19" s="18">
        <f t="shared" si="76"/>
        <v>183659899.50000003</v>
      </c>
      <c r="AB19" s="18">
        <f t="shared" si="76"/>
        <v>146708793</v>
      </c>
      <c r="AC19" s="18">
        <f t="shared" si="76"/>
        <v>103501975.50000001</v>
      </c>
      <c r="AD19" s="18">
        <f t="shared" si="76"/>
        <v>113698431.00000001</v>
      </c>
      <c r="AE19" s="18">
        <f t="shared" si="76"/>
        <v>150119392.5</v>
      </c>
      <c r="AF19" s="18">
        <f t="shared" si="76"/>
        <v>150313779</v>
      </c>
      <c r="AG19" s="18">
        <f t="shared" si="76"/>
        <v>143846010</v>
      </c>
      <c r="AH19" s="18">
        <f t="shared" si="76"/>
        <v>111171406.5</v>
      </c>
      <c r="AI19" s="18">
        <f t="shared" si="76"/>
        <v>134727516.00000003</v>
      </c>
      <c r="AK19" s="17" t="s">
        <v>31</v>
      </c>
      <c r="AL19" s="18">
        <f>AL5-AL10</f>
        <v>118913130</v>
      </c>
      <c r="AM19" s="18">
        <f t="shared" ref="AM19:AW19" si="77">AM5-AM10</f>
        <v>126704655</v>
      </c>
      <c r="AN19" s="18">
        <f t="shared" si="77"/>
        <v>122206455</v>
      </c>
      <c r="AO19" s="18">
        <f t="shared" si="77"/>
        <v>166963545</v>
      </c>
      <c r="AP19" s="18">
        <f t="shared" si="77"/>
        <v>133371630</v>
      </c>
      <c r="AQ19" s="18">
        <f t="shared" si="77"/>
        <v>94092705</v>
      </c>
      <c r="AR19" s="18">
        <f t="shared" si="77"/>
        <v>103362210</v>
      </c>
      <c r="AS19" s="18">
        <f t="shared" si="77"/>
        <v>136472175</v>
      </c>
      <c r="AT19" s="18">
        <f t="shared" si="77"/>
        <v>136648890</v>
      </c>
      <c r="AU19" s="18">
        <f t="shared" si="77"/>
        <v>130769100</v>
      </c>
      <c r="AV19" s="18">
        <f t="shared" si="77"/>
        <v>101064915</v>
      </c>
      <c r="AW19" s="18">
        <f t="shared" si="77"/>
        <v>122479560</v>
      </c>
    </row>
    <row r="20" spans="2:49" x14ac:dyDescent="0.3">
      <c r="B20" s="123" t="s">
        <v>26</v>
      </c>
      <c r="C20" s="125">
        <v>0.01</v>
      </c>
      <c r="F20" s="19"/>
      <c r="G20" s="19"/>
      <c r="H20" s="20" t="s">
        <v>32</v>
      </c>
      <c r="I20" s="20"/>
      <c r="J20" s="21">
        <f>J19/J5</f>
        <v>0.5099999999999999</v>
      </c>
      <c r="K20" s="21">
        <f t="shared" ref="K20:U20" si="78">K19/K5</f>
        <v>0.51</v>
      </c>
      <c r="L20" s="21">
        <f t="shared" si="78"/>
        <v>0.51</v>
      </c>
      <c r="M20" s="21">
        <f t="shared" si="78"/>
        <v>0.5099999999999999</v>
      </c>
      <c r="N20" s="21">
        <f t="shared" si="78"/>
        <v>0.51</v>
      </c>
      <c r="O20" s="21">
        <f t="shared" si="78"/>
        <v>0.51</v>
      </c>
      <c r="P20" s="21">
        <f t="shared" si="78"/>
        <v>0.51</v>
      </c>
      <c r="Q20" s="21">
        <f t="shared" si="78"/>
        <v>0.51</v>
      </c>
      <c r="R20" s="21">
        <f t="shared" si="78"/>
        <v>0.51</v>
      </c>
      <c r="S20" s="21">
        <f t="shared" si="78"/>
        <v>0.51</v>
      </c>
      <c r="T20" s="21">
        <f t="shared" si="78"/>
        <v>0.51</v>
      </c>
      <c r="U20" s="21">
        <f t="shared" si="78"/>
        <v>0.51</v>
      </c>
      <c r="W20" s="20" t="s">
        <v>32</v>
      </c>
      <c r="X20" s="21">
        <f>X19/X5</f>
        <v>0.51</v>
      </c>
      <c r="Y20" s="21">
        <f t="shared" ref="Y20:AI20" si="79">Y19/Y5</f>
        <v>0.51</v>
      </c>
      <c r="Z20" s="21">
        <f t="shared" si="79"/>
        <v>0.5099999999999999</v>
      </c>
      <c r="AA20" s="21">
        <f t="shared" si="79"/>
        <v>0.51</v>
      </c>
      <c r="AB20" s="21">
        <f t="shared" si="79"/>
        <v>0.51</v>
      </c>
      <c r="AC20" s="21">
        <f t="shared" si="79"/>
        <v>0.51</v>
      </c>
      <c r="AD20" s="21">
        <f t="shared" si="79"/>
        <v>0.51</v>
      </c>
      <c r="AE20" s="21">
        <f t="shared" si="79"/>
        <v>0.51</v>
      </c>
      <c r="AF20" s="21">
        <f t="shared" si="79"/>
        <v>0.51</v>
      </c>
      <c r="AG20" s="21">
        <f t="shared" si="79"/>
        <v>0.51</v>
      </c>
      <c r="AH20" s="21">
        <f t="shared" si="79"/>
        <v>0.51</v>
      </c>
      <c r="AI20" s="21">
        <f t="shared" si="79"/>
        <v>0.51</v>
      </c>
      <c r="AK20" s="20" t="s">
        <v>32</v>
      </c>
      <c r="AL20" s="21">
        <f>AL19/AL5</f>
        <v>0.51</v>
      </c>
      <c r="AM20" s="21">
        <f t="shared" ref="AM20:AW20" si="80">AM19/AM5</f>
        <v>0.51</v>
      </c>
      <c r="AN20" s="21">
        <f t="shared" si="80"/>
        <v>0.51</v>
      </c>
      <c r="AO20" s="21">
        <f t="shared" si="80"/>
        <v>0.51</v>
      </c>
      <c r="AP20" s="21">
        <f t="shared" si="80"/>
        <v>0.51</v>
      </c>
      <c r="AQ20" s="21">
        <f t="shared" si="80"/>
        <v>0.51</v>
      </c>
      <c r="AR20" s="21">
        <f t="shared" si="80"/>
        <v>0.51</v>
      </c>
      <c r="AS20" s="21">
        <f t="shared" si="80"/>
        <v>0.51</v>
      </c>
      <c r="AT20" s="21">
        <f t="shared" si="80"/>
        <v>0.51</v>
      </c>
      <c r="AU20" s="21">
        <f t="shared" si="80"/>
        <v>0.51</v>
      </c>
      <c r="AV20" s="21">
        <f t="shared" si="80"/>
        <v>0.51</v>
      </c>
      <c r="AW20" s="21">
        <f t="shared" si="80"/>
        <v>0.51</v>
      </c>
    </row>
    <row r="22" spans="2:49" x14ac:dyDescent="0.3">
      <c r="B22" s="123" t="s">
        <v>33</v>
      </c>
      <c r="C22" s="124">
        <v>3000000</v>
      </c>
      <c r="G22" s="11" t="s">
        <v>189</v>
      </c>
      <c r="J22" s="120">
        <v>0.67</v>
      </c>
      <c r="K22" s="120">
        <v>0.67</v>
      </c>
      <c r="L22" s="120">
        <v>0.67</v>
      </c>
      <c r="M22" s="120">
        <v>0.75</v>
      </c>
      <c r="N22" s="120">
        <v>0.75</v>
      </c>
      <c r="O22" s="12">
        <v>0.67</v>
      </c>
      <c r="P22" s="12">
        <v>0.67</v>
      </c>
      <c r="Q22" s="12">
        <v>0.75</v>
      </c>
      <c r="R22" s="12">
        <v>0.75</v>
      </c>
      <c r="S22" s="12">
        <v>0.75</v>
      </c>
      <c r="T22" s="12">
        <v>0.75</v>
      </c>
      <c r="U22" s="12">
        <v>0.9</v>
      </c>
      <c r="X22" s="12">
        <v>1</v>
      </c>
      <c r="Y22" s="12">
        <v>1</v>
      </c>
      <c r="Z22" s="12">
        <v>1</v>
      </c>
      <c r="AA22" s="12">
        <v>1</v>
      </c>
      <c r="AB22" s="12">
        <v>1</v>
      </c>
      <c r="AC22" s="12">
        <v>1</v>
      </c>
      <c r="AD22" s="12">
        <v>1</v>
      </c>
      <c r="AE22" s="12">
        <v>1</v>
      </c>
      <c r="AF22" s="12">
        <v>1</v>
      </c>
      <c r="AG22" s="12">
        <v>1</v>
      </c>
      <c r="AH22" s="12">
        <v>1</v>
      </c>
      <c r="AI22" s="12">
        <v>1</v>
      </c>
      <c r="AL22" s="12">
        <v>1</v>
      </c>
      <c r="AM22" s="12">
        <v>1</v>
      </c>
      <c r="AN22" s="12">
        <v>1</v>
      </c>
      <c r="AO22" s="12">
        <v>1</v>
      </c>
      <c r="AP22" s="12">
        <v>1</v>
      </c>
      <c r="AQ22" s="12">
        <v>1</v>
      </c>
      <c r="AR22" s="12">
        <v>1</v>
      </c>
      <c r="AS22" s="12">
        <v>1</v>
      </c>
      <c r="AT22" s="12">
        <v>1</v>
      </c>
      <c r="AU22" s="12">
        <v>1</v>
      </c>
      <c r="AV22" s="12">
        <v>1</v>
      </c>
      <c r="AW22" s="12">
        <v>1</v>
      </c>
    </row>
    <row r="23" spans="2:49" x14ac:dyDescent="0.3">
      <c r="F23" s="7" t="s">
        <v>35</v>
      </c>
      <c r="G23" s="13"/>
      <c r="H23" s="13"/>
      <c r="I23" s="13"/>
      <c r="J23" s="9">
        <f>SUM(J24:J33)</f>
        <v>79036000</v>
      </c>
      <c r="K23" s="9">
        <f t="shared" ref="K23:U23" si="81">SUM(K24:K33)</f>
        <v>79036000</v>
      </c>
      <c r="L23" s="9">
        <f t="shared" si="81"/>
        <v>79036000</v>
      </c>
      <c r="M23" s="9">
        <f t="shared" si="81"/>
        <v>84236000</v>
      </c>
      <c r="N23" s="9">
        <f t="shared" si="81"/>
        <v>84236000</v>
      </c>
      <c r="O23" s="9">
        <f t="shared" si="81"/>
        <v>79036000</v>
      </c>
      <c r="P23" s="9">
        <f t="shared" si="81"/>
        <v>79036000</v>
      </c>
      <c r="Q23" s="9">
        <f t="shared" si="81"/>
        <v>84236000</v>
      </c>
      <c r="R23" s="9">
        <f t="shared" si="81"/>
        <v>84236000</v>
      </c>
      <c r="S23" s="9">
        <f t="shared" si="81"/>
        <v>84236000</v>
      </c>
      <c r="T23" s="9">
        <f t="shared" si="81"/>
        <v>84236000</v>
      </c>
      <c r="U23" s="9">
        <f t="shared" si="81"/>
        <v>93986000</v>
      </c>
      <c r="W23" s="13"/>
      <c r="X23" s="9">
        <f>SUM(X24:X33)</f>
        <v>100486000</v>
      </c>
      <c r="Y23" s="9">
        <f t="shared" ref="Y23:AI23" si="82">SUM(Y24:Y33)</f>
        <v>100486000</v>
      </c>
      <c r="Z23" s="9">
        <f t="shared" si="82"/>
        <v>100486000</v>
      </c>
      <c r="AA23" s="9">
        <f t="shared" si="82"/>
        <v>100486000</v>
      </c>
      <c r="AB23" s="9">
        <f t="shared" si="82"/>
        <v>100486000</v>
      </c>
      <c r="AC23" s="9">
        <f t="shared" si="82"/>
        <v>100486000</v>
      </c>
      <c r="AD23" s="9">
        <f t="shared" si="82"/>
        <v>100486000</v>
      </c>
      <c r="AE23" s="9">
        <f t="shared" si="82"/>
        <v>100486000</v>
      </c>
      <c r="AF23" s="9">
        <f t="shared" si="82"/>
        <v>100486000</v>
      </c>
      <c r="AG23" s="9">
        <f t="shared" si="82"/>
        <v>100486000</v>
      </c>
      <c r="AH23" s="9">
        <f t="shared" si="82"/>
        <v>100486000</v>
      </c>
      <c r="AI23" s="9">
        <f t="shared" si="82"/>
        <v>100486000</v>
      </c>
      <c r="AK23" s="13"/>
      <c r="AL23" s="9">
        <f>SUM(AL24:AL33)</f>
        <v>100486000</v>
      </c>
      <c r="AM23" s="9">
        <f t="shared" ref="AM23:AW23" si="83">SUM(AM24:AM33)</f>
        <v>100486000</v>
      </c>
      <c r="AN23" s="9">
        <f t="shared" si="83"/>
        <v>100486000</v>
      </c>
      <c r="AO23" s="9">
        <f t="shared" si="83"/>
        <v>100486000</v>
      </c>
      <c r="AP23" s="9">
        <f t="shared" si="83"/>
        <v>100486000</v>
      </c>
      <c r="AQ23" s="9">
        <f t="shared" si="83"/>
        <v>100486000</v>
      </c>
      <c r="AR23" s="9">
        <f t="shared" si="83"/>
        <v>100486000</v>
      </c>
      <c r="AS23" s="9">
        <f t="shared" si="83"/>
        <v>100486000</v>
      </c>
      <c r="AT23" s="9">
        <f t="shared" si="83"/>
        <v>100486000</v>
      </c>
      <c r="AU23" s="9">
        <f t="shared" si="83"/>
        <v>100486000</v>
      </c>
      <c r="AV23" s="9">
        <f t="shared" si="83"/>
        <v>100486000</v>
      </c>
      <c r="AW23" s="9">
        <f t="shared" si="83"/>
        <v>100486000</v>
      </c>
    </row>
    <row r="24" spans="2:49" x14ac:dyDescent="0.3">
      <c r="B24" s="123" t="s">
        <v>34</v>
      </c>
      <c r="C24" s="124">
        <v>2300000</v>
      </c>
      <c r="F24" t="s">
        <v>62</v>
      </c>
      <c r="G24" s="22" t="s">
        <v>36</v>
      </c>
      <c r="J24" s="14">
        <f t="shared" ref="J24:U24" si="84">$C$18*J22</f>
        <v>40200000</v>
      </c>
      <c r="K24" s="14">
        <f t="shared" si="84"/>
        <v>40200000</v>
      </c>
      <c r="L24" s="14">
        <f t="shared" si="84"/>
        <v>40200000</v>
      </c>
      <c r="M24" s="14">
        <f t="shared" si="84"/>
        <v>45000000</v>
      </c>
      <c r="N24" s="14">
        <f t="shared" si="84"/>
        <v>45000000</v>
      </c>
      <c r="O24" s="14">
        <f t="shared" si="84"/>
        <v>40200000</v>
      </c>
      <c r="P24" s="14">
        <f t="shared" si="84"/>
        <v>40200000</v>
      </c>
      <c r="Q24" s="14">
        <f t="shared" si="84"/>
        <v>45000000</v>
      </c>
      <c r="R24" s="14">
        <f t="shared" si="84"/>
        <v>45000000</v>
      </c>
      <c r="S24" s="14">
        <f t="shared" si="84"/>
        <v>45000000</v>
      </c>
      <c r="T24" s="14">
        <f t="shared" si="84"/>
        <v>45000000</v>
      </c>
      <c r="U24" s="14">
        <f t="shared" si="84"/>
        <v>54000000</v>
      </c>
      <c r="X24" s="14">
        <f t="shared" ref="X24:AI24" si="85">$C$18*X22</f>
        <v>60000000</v>
      </c>
      <c r="Y24" s="14">
        <f t="shared" si="85"/>
        <v>60000000</v>
      </c>
      <c r="Z24" s="14">
        <f t="shared" si="85"/>
        <v>60000000</v>
      </c>
      <c r="AA24" s="14">
        <f t="shared" si="85"/>
        <v>60000000</v>
      </c>
      <c r="AB24" s="14">
        <f t="shared" si="85"/>
        <v>60000000</v>
      </c>
      <c r="AC24" s="14">
        <f t="shared" si="85"/>
        <v>60000000</v>
      </c>
      <c r="AD24" s="14">
        <f t="shared" si="85"/>
        <v>60000000</v>
      </c>
      <c r="AE24" s="14">
        <f t="shared" si="85"/>
        <v>60000000</v>
      </c>
      <c r="AF24" s="14">
        <f t="shared" si="85"/>
        <v>60000000</v>
      </c>
      <c r="AG24" s="14">
        <f t="shared" si="85"/>
        <v>60000000</v>
      </c>
      <c r="AH24" s="14">
        <f t="shared" si="85"/>
        <v>60000000</v>
      </c>
      <c r="AI24" s="14">
        <f t="shared" si="85"/>
        <v>60000000</v>
      </c>
      <c r="AL24" s="14">
        <f t="shared" ref="AL24:AW24" si="86">$C$18*AL22</f>
        <v>60000000</v>
      </c>
      <c r="AM24" s="14">
        <f t="shared" si="86"/>
        <v>60000000</v>
      </c>
      <c r="AN24" s="14">
        <f t="shared" si="86"/>
        <v>60000000</v>
      </c>
      <c r="AO24" s="14">
        <f t="shared" si="86"/>
        <v>60000000</v>
      </c>
      <c r="AP24" s="14">
        <f t="shared" si="86"/>
        <v>60000000</v>
      </c>
      <c r="AQ24" s="14">
        <f t="shared" si="86"/>
        <v>60000000</v>
      </c>
      <c r="AR24" s="14">
        <f t="shared" si="86"/>
        <v>60000000</v>
      </c>
      <c r="AS24" s="14">
        <f t="shared" si="86"/>
        <v>60000000</v>
      </c>
      <c r="AT24" s="14">
        <f t="shared" si="86"/>
        <v>60000000</v>
      </c>
      <c r="AU24" s="14">
        <f t="shared" si="86"/>
        <v>60000000</v>
      </c>
      <c r="AV24" s="14">
        <f t="shared" si="86"/>
        <v>60000000</v>
      </c>
      <c r="AW24" s="14">
        <f t="shared" si="86"/>
        <v>60000000</v>
      </c>
    </row>
    <row r="25" spans="2:49" x14ac:dyDescent="0.3">
      <c r="F25" t="s">
        <v>62</v>
      </c>
      <c r="G25" t="s">
        <v>37</v>
      </c>
      <c r="J25" s="14">
        <v>12500000</v>
      </c>
      <c r="K25" s="14">
        <v>12500000</v>
      </c>
      <c r="L25" s="14">
        <v>12500000</v>
      </c>
      <c r="M25" s="14">
        <v>12500000</v>
      </c>
      <c r="N25" s="14">
        <v>12500000</v>
      </c>
      <c r="O25" s="14">
        <v>12500000</v>
      </c>
      <c r="P25" s="14">
        <v>12500000</v>
      </c>
      <c r="Q25" s="14">
        <v>12500000</v>
      </c>
      <c r="R25" s="14">
        <v>12500000</v>
      </c>
      <c r="S25" s="14">
        <v>12500000</v>
      </c>
      <c r="T25" s="14">
        <v>12500000</v>
      </c>
      <c r="U25" s="14">
        <v>12500000</v>
      </c>
      <c r="X25" s="14">
        <v>12500000</v>
      </c>
      <c r="Y25" s="14">
        <v>12500000</v>
      </c>
      <c r="Z25" s="14">
        <v>12500000</v>
      </c>
      <c r="AA25" s="14">
        <v>12500000</v>
      </c>
      <c r="AB25" s="14">
        <v>12500000</v>
      </c>
      <c r="AC25" s="14">
        <v>12500000</v>
      </c>
      <c r="AD25" s="14">
        <v>12500000</v>
      </c>
      <c r="AE25" s="14">
        <v>12500000</v>
      </c>
      <c r="AF25" s="14">
        <v>12500000</v>
      </c>
      <c r="AG25" s="14">
        <v>12500000</v>
      </c>
      <c r="AH25" s="14">
        <v>12500000</v>
      </c>
      <c r="AI25" s="14">
        <v>12500000</v>
      </c>
      <c r="AL25" s="14">
        <v>12500000</v>
      </c>
      <c r="AM25" s="14">
        <v>12500000</v>
      </c>
      <c r="AN25" s="14">
        <v>12500000</v>
      </c>
      <c r="AO25" s="14">
        <v>12500000</v>
      </c>
      <c r="AP25" s="14">
        <v>12500000</v>
      </c>
      <c r="AQ25" s="14">
        <v>12500000</v>
      </c>
      <c r="AR25" s="14">
        <v>12500000</v>
      </c>
      <c r="AS25" s="14">
        <v>12500000</v>
      </c>
      <c r="AT25" s="14">
        <v>12500000</v>
      </c>
      <c r="AU25" s="14">
        <v>12500000</v>
      </c>
      <c r="AV25" s="14">
        <v>12500000</v>
      </c>
      <c r="AW25" s="14">
        <v>12500000</v>
      </c>
    </row>
    <row r="26" spans="2:49" x14ac:dyDescent="0.3">
      <c r="B26" s="123" t="s">
        <v>28</v>
      </c>
      <c r="C26" s="127">
        <v>2.5000000000000001E-3</v>
      </c>
      <c r="F26" t="s">
        <v>62</v>
      </c>
      <c r="G26" t="s">
        <v>38</v>
      </c>
      <c r="J26" s="14">
        <v>6800000</v>
      </c>
      <c r="K26" s="14">
        <v>6800000</v>
      </c>
      <c r="L26" s="14">
        <v>6800000</v>
      </c>
      <c r="M26" s="14">
        <v>6800000</v>
      </c>
      <c r="N26" s="14">
        <v>6800000</v>
      </c>
      <c r="O26" s="14">
        <v>6800000</v>
      </c>
      <c r="P26" s="14">
        <v>6800000</v>
      </c>
      <c r="Q26" s="14">
        <v>6800000</v>
      </c>
      <c r="R26" s="14">
        <v>6800000</v>
      </c>
      <c r="S26" s="14">
        <v>6800000</v>
      </c>
      <c r="T26" s="14">
        <v>6800000</v>
      </c>
      <c r="U26" s="14">
        <v>6800000</v>
      </c>
      <c r="X26" s="14">
        <v>6800000</v>
      </c>
      <c r="Y26" s="14">
        <v>6800000</v>
      </c>
      <c r="Z26" s="14">
        <v>6800000</v>
      </c>
      <c r="AA26" s="14">
        <v>6800000</v>
      </c>
      <c r="AB26" s="14">
        <v>6800000</v>
      </c>
      <c r="AC26" s="14">
        <v>6800000</v>
      </c>
      <c r="AD26" s="14">
        <v>6800000</v>
      </c>
      <c r="AE26" s="14">
        <v>6800000</v>
      </c>
      <c r="AF26" s="14">
        <v>6800000</v>
      </c>
      <c r="AG26" s="14">
        <v>6800000</v>
      </c>
      <c r="AH26" s="14">
        <v>6800000</v>
      </c>
      <c r="AI26" s="14">
        <v>6800000</v>
      </c>
      <c r="AL26" s="14">
        <v>6800000</v>
      </c>
      <c r="AM26" s="14">
        <v>6800000</v>
      </c>
      <c r="AN26" s="14">
        <v>6800000</v>
      </c>
      <c r="AO26" s="14">
        <v>6800000</v>
      </c>
      <c r="AP26" s="14">
        <v>6800000</v>
      </c>
      <c r="AQ26" s="14">
        <v>6800000</v>
      </c>
      <c r="AR26" s="14">
        <v>6800000</v>
      </c>
      <c r="AS26" s="14">
        <v>6800000</v>
      </c>
      <c r="AT26" s="14">
        <v>6800000</v>
      </c>
      <c r="AU26" s="14">
        <v>6800000</v>
      </c>
      <c r="AV26" s="14">
        <v>6800000</v>
      </c>
      <c r="AW26" s="14">
        <v>6800000</v>
      </c>
    </row>
    <row r="27" spans="2:49" x14ac:dyDescent="0.3">
      <c r="F27" t="s">
        <v>62</v>
      </c>
      <c r="G27" t="s">
        <v>27</v>
      </c>
      <c r="J27" s="14">
        <f>$C$16</f>
        <v>2000000</v>
      </c>
      <c r="K27" s="14">
        <f t="shared" ref="K27:U27" si="87">$C$16</f>
        <v>2000000</v>
      </c>
      <c r="L27" s="14">
        <f t="shared" si="87"/>
        <v>2000000</v>
      </c>
      <c r="M27" s="14">
        <f t="shared" si="87"/>
        <v>2000000</v>
      </c>
      <c r="N27" s="14">
        <f t="shared" si="87"/>
        <v>2000000</v>
      </c>
      <c r="O27" s="14">
        <f t="shared" si="87"/>
        <v>2000000</v>
      </c>
      <c r="P27" s="14">
        <f t="shared" si="87"/>
        <v>2000000</v>
      </c>
      <c r="Q27" s="14">
        <f t="shared" si="87"/>
        <v>2000000</v>
      </c>
      <c r="R27" s="14">
        <f t="shared" si="87"/>
        <v>2000000</v>
      </c>
      <c r="S27" s="14">
        <f t="shared" si="87"/>
        <v>2000000</v>
      </c>
      <c r="T27" s="14">
        <f t="shared" si="87"/>
        <v>2000000</v>
      </c>
      <c r="U27" s="14">
        <f t="shared" si="87"/>
        <v>2000000</v>
      </c>
      <c r="X27" s="14">
        <f>$C$16</f>
        <v>2000000</v>
      </c>
      <c r="Y27" s="14">
        <f t="shared" ref="Y27:AI27" si="88">$C$16</f>
        <v>2000000</v>
      </c>
      <c r="Z27" s="14">
        <f t="shared" si="88"/>
        <v>2000000</v>
      </c>
      <c r="AA27" s="14">
        <f t="shared" si="88"/>
        <v>2000000</v>
      </c>
      <c r="AB27" s="14">
        <f t="shared" si="88"/>
        <v>2000000</v>
      </c>
      <c r="AC27" s="14">
        <f t="shared" si="88"/>
        <v>2000000</v>
      </c>
      <c r="AD27" s="14">
        <f t="shared" si="88"/>
        <v>2000000</v>
      </c>
      <c r="AE27" s="14">
        <f t="shared" si="88"/>
        <v>2000000</v>
      </c>
      <c r="AF27" s="14">
        <f t="shared" si="88"/>
        <v>2000000</v>
      </c>
      <c r="AG27" s="14">
        <f t="shared" si="88"/>
        <v>2000000</v>
      </c>
      <c r="AH27" s="14">
        <f t="shared" si="88"/>
        <v>2000000</v>
      </c>
      <c r="AI27" s="14">
        <f t="shared" si="88"/>
        <v>2000000</v>
      </c>
      <c r="AL27" s="14">
        <f>$C$16</f>
        <v>2000000</v>
      </c>
      <c r="AM27" s="14">
        <f t="shared" ref="AM27:AW27" si="89">$C$16</f>
        <v>2000000</v>
      </c>
      <c r="AN27" s="14">
        <f t="shared" si="89"/>
        <v>2000000</v>
      </c>
      <c r="AO27" s="14">
        <f t="shared" si="89"/>
        <v>2000000</v>
      </c>
      <c r="AP27" s="14">
        <f t="shared" si="89"/>
        <v>2000000</v>
      </c>
      <c r="AQ27" s="14">
        <f t="shared" si="89"/>
        <v>2000000</v>
      </c>
      <c r="AR27" s="14">
        <f t="shared" si="89"/>
        <v>2000000</v>
      </c>
      <c r="AS27" s="14">
        <f t="shared" si="89"/>
        <v>2000000</v>
      </c>
      <c r="AT27" s="14">
        <f t="shared" si="89"/>
        <v>2000000</v>
      </c>
      <c r="AU27" s="14">
        <f t="shared" si="89"/>
        <v>2000000</v>
      </c>
      <c r="AV27" s="14">
        <f t="shared" si="89"/>
        <v>2000000</v>
      </c>
      <c r="AW27" s="14">
        <f t="shared" si="89"/>
        <v>2000000</v>
      </c>
    </row>
    <row r="28" spans="2:49" x14ac:dyDescent="0.3">
      <c r="B28" s="123" t="s">
        <v>29</v>
      </c>
      <c r="C28" s="125">
        <v>0.01</v>
      </c>
      <c r="F28" t="s">
        <v>62</v>
      </c>
      <c r="G28" t="s">
        <v>33</v>
      </c>
      <c r="J28" s="14">
        <f t="shared" ref="J28:U28" si="90">$C$22</f>
        <v>3000000</v>
      </c>
      <c r="K28" s="14">
        <f t="shared" si="90"/>
        <v>3000000</v>
      </c>
      <c r="L28" s="14">
        <f t="shared" si="90"/>
        <v>3000000</v>
      </c>
      <c r="M28" s="14">
        <f t="shared" si="90"/>
        <v>3000000</v>
      </c>
      <c r="N28" s="14">
        <f t="shared" si="90"/>
        <v>3000000</v>
      </c>
      <c r="O28" s="14">
        <f t="shared" si="90"/>
        <v>3000000</v>
      </c>
      <c r="P28" s="14">
        <f t="shared" si="90"/>
        <v>3000000</v>
      </c>
      <c r="Q28" s="14">
        <f t="shared" si="90"/>
        <v>3000000</v>
      </c>
      <c r="R28" s="14">
        <f t="shared" si="90"/>
        <v>3000000</v>
      </c>
      <c r="S28" s="14">
        <f t="shared" si="90"/>
        <v>3000000</v>
      </c>
      <c r="T28" s="14">
        <f t="shared" si="90"/>
        <v>3000000</v>
      </c>
      <c r="U28" s="14">
        <f t="shared" si="90"/>
        <v>3000000</v>
      </c>
      <c r="X28" s="14">
        <f t="shared" ref="X28:AI28" si="91">$C$22</f>
        <v>3000000</v>
      </c>
      <c r="Y28" s="14">
        <f t="shared" si="91"/>
        <v>3000000</v>
      </c>
      <c r="Z28" s="14">
        <f t="shared" si="91"/>
        <v>3000000</v>
      </c>
      <c r="AA28" s="14">
        <f t="shared" si="91"/>
        <v>3000000</v>
      </c>
      <c r="AB28" s="14">
        <f t="shared" si="91"/>
        <v>3000000</v>
      </c>
      <c r="AC28" s="14">
        <f t="shared" si="91"/>
        <v>3000000</v>
      </c>
      <c r="AD28" s="14">
        <f t="shared" si="91"/>
        <v>3000000</v>
      </c>
      <c r="AE28" s="14">
        <f t="shared" si="91"/>
        <v>3000000</v>
      </c>
      <c r="AF28" s="14">
        <f t="shared" si="91"/>
        <v>3000000</v>
      </c>
      <c r="AG28" s="14">
        <f t="shared" si="91"/>
        <v>3000000</v>
      </c>
      <c r="AH28" s="14">
        <f t="shared" si="91"/>
        <v>3000000</v>
      </c>
      <c r="AI28" s="14">
        <f t="shared" si="91"/>
        <v>3000000</v>
      </c>
      <c r="AL28" s="14">
        <f t="shared" ref="AL28:AW28" si="92">$C$22</f>
        <v>3000000</v>
      </c>
      <c r="AM28" s="14">
        <f t="shared" si="92"/>
        <v>3000000</v>
      </c>
      <c r="AN28" s="14">
        <f t="shared" si="92"/>
        <v>3000000</v>
      </c>
      <c r="AO28" s="14">
        <f t="shared" si="92"/>
        <v>3000000</v>
      </c>
      <c r="AP28" s="14">
        <f t="shared" si="92"/>
        <v>3000000</v>
      </c>
      <c r="AQ28" s="14">
        <f t="shared" si="92"/>
        <v>3000000</v>
      </c>
      <c r="AR28" s="14">
        <f t="shared" si="92"/>
        <v>3000000</v>
      </c>
      <c r="AS28" s="14">
        <f t="shared" si="92"/>
        <v>3000000</v>
      </c>
      <c r="AT28" s="14">
        <f t="shared" si="92"/>
        <v>3000000</v>
      </c>
      <c r="AU28" s="14">
        <f t="shared" si="92"/>
        <v>3000000</v>
      </c>
      <c r="AV28" s="14">
        <f t="shared" si="92"/>
        <v>3000000</v>
      </c>
      <c r="AW28" s="14">
        <f t="shared" si="92"/>
        <v>3000000</v>
      </c>
    </row>
    <row r="29" spans="2:49" x14ac:dyDescent="0.3">
      <c r="F29" t="s">
        <v>62</v>
      </c>
      <c r="G29" t="s">
        <v>34</v>
      </c>
      <c r="J29" s="14">
        <f t="shared" ref="J29:U29" si="93">$C$24</f>
        <v>2300000</v>
      </c>
      <c r="K29" s="14">
        <f t="shared" si="93"/>
        <v>2300000</v>
      </c>
      <c r="L29" s="14">
        <f t="shared" si="93"/>
        <v>2300000</v>
      </c>
      <c r="M29" s="14">
        <f t="shared" si="93"/>
        <v>2300000</v>
      </c>
      <c r="N29" s="14">
        <f t="shared" si="93"/>
        <v>2300000</v>
      </c>
      <c r="O29" s="14">
        <f t="shared" si="93"/>
        <v>2300000</v>
      </c>
      <c r="P29" s="14">
        <f t="shared" si="93"/>
        <v>2300000</v>
      </c>
      <c r="Q29" s="14">
        <f t="shared" si="93"/>
        <v>2300000</v>
      </c>
      <c r="R29" s="14">
        <f t="shared" si="93"/>
        <v>2300000</v>
      </c>
      <c r="S29" s="14">
        <f t="shared" si="93"/>
        <v>2300000</v>
      </c>
      <c r="T29" s="14">
        <f t="shared" si="93"/>
        <v>2300000</v>
      </c>
      <c r="U29" s="14">
        <f t="shared" si="93"/>
        <v>2300000</v>
      </c>
      <c r="X29" s="14">
        <f t="shared" ref="X29:AI29" si="94">$C$24</f>
        <v>2300000</v>
      </c>
      <c r="Y29" s="14">
        <f t="shared" si="94"/>
        <v>2300000</v>
      </c>
      <c r="Z29" s="14">
        <f t="shared" si="94"/>
        <v>2300000</v>
      </c>
      <c r="AA29" s="14">
        <f t="shared" si="94"/>
        <v>2300000</v>
      </c>
      <c r="AB29" s="14">
        <f t="shared" si="94"/>
        <v>2300000</v>
      </c>
      <c r="AC29" s="14">
        <f t="shared" si="94"/>
        <v>2300000</v>
      </c>
      <c r="AD29" s="14">
        <f t="shared" si="94"/>
        <v>2300000</v>
      </c>
      <c r="AE29" s="14">
        <f t="shared" si="94"/>
        <v>2300000</v>
      </c>
      <c r="AF29" s="14">
        <f t="shared" si="94"/>
        <v>2300000</v>
      </c>
      <c r="AG29" s="14">
        <f t="shared" si="94"/>
        <v>2300000</v>
      </c>
      <c r="AH29" s="14">
        <f t="shared" si="94"/>
        <v>2300000</v>
      </c>
      <c r="AI29" s="14">
        <f t="shared" si="94"/>
        <v>2300000</v>
      </c>
      <c r="AL29" s="14">
        <f t="shared" ref="AL29:AW29" si="95">$C$24</f>
        <v>2300000</v>
      </c>
      <c r="AM29" s="14">
        <f t="shared" si="95"/>
        <v>2300000</v>
      </c>
      <c r="AN29" s="14">
        <f t="shared" si="95"/>
        <v>2300000</v>
      </c>
      <c r="AO29" s="14">
        <f t="shared" si="95"/>
        <v>2300000</v>
      </c>
      <c r="AP29" s="14">
        <f t="shared" si="95"/>
        <v>2300000</v>
      </c>
      <c r="AQ29" s="14">
        <f t="shared" si="95"/>
        <v>2300000</v>
      </c>
      <c r="AR29" s="14">
        <f t="shared" si="95"/>
        <v>2300000</v>
      </c>
      <c r="AS29" s="14">
        <f t="shared" si="95"/>
        <v>2300000</v>
      </c>
      <c r="AT29" s="14">
        <f t="shared" si="95"/>
        <v>2300000</v>
      </c>
      <c r="AU29" s="14">
        <f t="shared" si="95"/>
        <v>2300000</v>
      </c>
      <c r="AV29" s="14">
        <f t="shared" si="95"/>
        <v>2300000</v>
      </c>
      <c r="AW29" s="14">
        <f t="shared" si="95"/>
        <v>2300000</v>
      </c>
    </row>
    <row r="30" spans="2:49" x14ac:dyDescent="0.3">
      <c r="B30" s="123" t="s">
        <v>192</v>
      </c>
      <c r="C30" s="125">
        <v>0.05</v>
      </c>
      <c r="G30" t="s">
        <v>39</v>
      </c>
      <c r="J30" s="14">
        <f>J24/12</f>
        <v>3350000</v>
      </c>
      <c r="K30" s="14">
        <f t="shared" ref="K30:U30" si="96">K24/12</f>
        <v>3350000</v>
      </c>
      <c r="L30" s="14">
        <f t="shared" si="96"/>
        <v>3350000</v>
      </c>
      <c r="M30" s="14">
        <f t="shared" si="96"/>
        <v>3750000</v>
      </c>
      <c r="N30" s="14">
        <f t="shared" si="96"/>
        <v>3750000</v>
      </c>
      <c r="O30" s="14">
        <f t="shared" si="96"/>
        <v>3350000</v>
      </c>
      <c r="P30" s="14">
        <f t="shared" si="96"/>
        <v>3350000</v>
      </c>
      <c r="Q30" s="14">
        <f t="shared" si="96"/>
        <v>3750000</v>
      </c>
      <c r="R30" s="14">
        <f t="shared" si="96"/>
        <v>3750000</v>
      </c>
      <c r="S30" s="14">
        <f t="shared" si="96"/>
        <v>3750000</v>
      </c>
      <c r="T30" s="14">
        <f t="shared" si="96"/>
        <v>3750000</v>
      </c>
      <c r="U30" s="14">
        <f t="shared" si="96"/>
        <v>4500000</v>
      </c>
      <c r="X30" s="14">
        <f>X24/12</f>
        <v>5000000</v>
      </c>
      <c r="Y30" s="14">
        <f t="shared" ref="Y30:AI30" si="97">Y24/12</f>
        <v>5000000</v>
      </c>
      <c r="Z30" s="14">
        <f t="shared" si="97"/>
        <v>5000000</v>
      </c>
      <c r="AA30" s="14">
        <f t="shared" si="97"/>
        <v>5000000</v>
      </c>
      <c r="AB30" s="14">
        <f t="shared" si="97"/>
        <v>5000000</v>
      </c>
      <c r="AC30" s="14">
        <f t="shared" si="97"/>
        <v>5000000</v>
      </c>
      <c r="AD30" s="14">
        <f t="shared" si="97"/>
        <v>5000000</v>
      </c>
      <c r="AE30" s="14">
        <f t="shared" si="97"/>
        <v>5000000</v>
      </c>
      <c r="AF30" s="14">
        <f t="shared" si="97"/>
        <v>5000000</v>
      </c>
      <c r="AG30" s="14">
        <f t="shared" si="97"/>
        <v>5000000</v>
      </c>
      <c r="AH30" s="14">
        <f t="shared" si="97"/>
        <v>5000000</v>
      </c>
      <c r="AI30" s="14">
        <f t="shared" si="97"/>
        <v>5000000</v>
      </c>
      <c r="AL30" s="14">
        <f>AL24/12</f>
        <v>5000000</v>
      </c>
      <c r="AM30" s="14">
        <f t="shared" ref="AM30:AW30" si="98">AM24/12</f>
        <v>5000000</v>
      </c>
      <c r="AN30" s="14">
        <f t="shared" si="98"/>
        <v>5000000</v>
      </c>
      <c r="AO30" s="14">
        <f t="shared" si="98"/>
        <v>5000000</v>
      </c>
      <c r="AP30" s="14">
        <f t="shared" si="98"/>
        <v>5000000</v>
      </c>
      <c r="AQ30" s="14">
        <f t="shared" si="98"/>
        <v>5000000</v>
      </c>
      <c r="AR30" s="14">
        <f t="shared" si="98"/>
        <v>5000000</v>
      </c>
      <c r="AS30" s="14">
        <f t="shared" si="98"/>
        <v>5000000</v>
      </c>
      <c r="AT30" s="14">
        <f t="shared" si="98"/>
        <v>5000000</v>
      </c>
      <c r="AU30" s="14">
        <f t="shared" si="98"/>
        <v>5000000</v>
      </c>
      <c r="AV30" s="14">
        <f t="shared" si="98"/>
        <v>5000000</v>
      </c>
      <c r="AW30" s="14">
        <f t="shared" si="98"/>
        <v>5000000</v>
      </c>
    </row>
    <row r="31" spans="2:49" x14ac:dyDescent="0.3">
      <c r="F31" t="s">
        <v>62</v>
      </c>
      <c r="G31" t="s">
        <v>41</v>
      </c>
      <c r="J31" s="14">
        <v>5000000</v>
      </c>
      <c r="K31" s="14">
        <v>5000000</v>
      </c>
      <c r="L31" s="14">
        <v>5000000</v>
      </c>
      <c r="M31" s="14">
        <v>5000000</v>
      </c>
      <c r="N31" s="14">
        <v>5000000</v>
      </c>
      <c r="O31" s="14">
        <v>5000000</v>
      </c>
      <c r="P31" s="14">
        <v>5000000</v>
      </c>
      <c r="Q31" s="14">
        <v>5000000</v>
      </c>
      <c r="R31" s="14">
        <v>5000000</v>
      </c>
      <c r="S31" s="14">
        <v>5000000</v>
      </c>
      <c r="T31" s="14">
        <v>5000000</v>
      </c>
      <c r="U31" s="14">
        <v>5000000</v>
      </c>
      <c r="X31" s="14">
        <v>5000000</v>
      </c>
      <c r="Y31" s="14">
        <v>5000000</v>
      </c>
      <c r="Z31" s="14">
        <v>5000000</v>
      </c>
      <c r="AA31" s="14">
        <v>5000000</v>
      </c>
      <c r="AB31" s="14">
        <v>5000000</v>
      </c>
      <c r="AC31" s="14">
        <v>5000000</v>
      </c>
      <c r="AD31" s="14">
        <v>5000000</v>
      </c>
      <c r="AE31" s="14">
        <v>5000000</v>
      </c>
      <c r="AF31" s="14">
        <v>5000000</v>
      </c>
      <c r="AG31" s="14">
        <v>5000000</v>
      </c>
      <c r="AH31" s="14">
        <v>5000000</v>
      </c>
      <c r="AI31" s="14">
        <v>5000000</v>
      </c>
      <c r="AL31" s="14">
        <v>5000000</v>
      </c>
      <c r="AM31" s="14">
        <v>5000000</v>
      </c>
      <c r="AN31" s="14">
        <v>5000000</v>
      </c>
      <c r="AO31" s="14">
        <v>5000000</v>
      </c>
      <c r="AP31" s="14">
        <v>5000000</v>
      </c>
      <c r="AQ31" s="14">
        <v>5000000</v>
      </c>
      <c r="AR31" s="14">
        <v>5000000</v>
      </c>
      <c r="AS31" s="14">
        <v>5000000</v>
      </c>
      <c r="AT31" s="14">
        <v>5000000</v>
      </c>
      <c r="AU31" s="14">
        <v>5000000</v>
      </c>
      <c r="AV31" s="14">
        <v>5000000</v>
      </c>
      <c r="AW31" s="14">
        <v>5000000</v>
      </c>
    </row>
    <row r="32" spans="2:49" x14ac:dyDescent="0.3">
      <c r="B32" s="123" t="s">
        <v>40</v>
      </c>
      <c r="C32" s="125">
        <v>0.01</v>
      </c>
      <c r="F32" t="s">
        <v>62</v>
      </c>
      <c r="G32" t="s">
        <v>42</v>
      </c>
      <c r="J32" s="14">
        <v>3886000</v>
      </c>
      <c r="K32" s="14">
        <v>3886000</v>
      </c>
      <c r="L32" s="14">
        <v>3886000</v>
      </c>
      <c r="M32" s="14">
        <v>3886000</v>
      </c>
      <c r="N32" s="14">
        <v>3886000</v>
      </c>
      <c r="O32" s="14">
        <v>3886000</v>
      </c>
      <c r="P32" s="14">
        <v>3886000</v>
      </c>
      <c r="Q32" s="14">
        <v>3886000</v>
      </c>
      <c r="R32" s="14">
        <v>3886000</v>
      </c>
      <c r="S32" s="14">
        <v>3886000</v>
      </c>
      <c r="T32" s="14">
        <v>3886000</v>
      </c>
      <c r="U32" s="14">
        <v>3886000</v>
      </c>
      <c r="X32" s="14">
        <v>3886000</v>
      </c>
      <c r="Y32" s="14">
        <v>3886000</v>
      </c>
      <c r="Z32" s="14">
        <v>3886000</v>
      </c>
      <c r="AA32" s="14">
        <v>3886000</v>
      </c>
      <c r="AB32" s="14">
        <v>3886000</v>
      </c>
      <c r="AC32" s="14">
        <v>3886000</v>
      </c>
      <c r="AD32" s="14">
        <v>3886000</v>
      </c>
      <c r="AE32" s="14">
        <v>3886000</v>
      </c>
      <c r="AF32" s="14">
        <v>3886000</v>
      </c>
      <c r="AG32" s="14">
        <v>3886000</v>
      </c>
      <c r="AH32" s="14">
        <v>3886000</v>
      </c>
      <c r="AI32" s="14">
        <v>3886000</v>
      </c>
      <c r="AL32" s="14">
        <v>3886000</v>
      </c>
      <c r="AM32" s="14">
        <v>3886000</v>
      </c>
      <c r="AN32" s="14">
        <v>3886000</v>
      </c>
      <c r="AO32" s="14">
        <v>3886000</v>
      </c>
      <c r="AP32" s="14">
        <v>3886000</v>
      </c>
      <c r="AQ32" s="14">
        <v>3886000</v>
      </c>
      <c r="AR32" s="14">
        <v>3886000</v>
      </c>
      <c r="AS32" s="14">
        <v>3886000</v>
      </c>
      <c r="AT32" s="14">
        <v>3886000</v>
      </c>
      <c r="AU32" s="14">
        <v>3886000</v>
      </c>
      <c r="AV32" s="14">
        <v>3886000</v>
      </c>
      <c r="AW32" s="14">
        <v>3886000</v>
      </c>
    </row>
    <row r="34" spans="2:49" ht="18" x14ac:dyDescent="0.35">
      <c r="B34" s="99" t="s">
        <v>106</v>
      </c>
      <c r="C34" s="100">
        <f>'Cash Flow'!C16</f>
        <v>0.36776345016631051</v>
      </c>
      <c r="F34" s="15" t="s">
        <v>43</v>
      </c>
      <c r="G34" s="16"/>
      <c r="H34" s="17" t="s">
        <v>31</v>
      </c>
      <c r="I34" s="17"/>
      <c r="J34" s="18">
        <f>J19-J23</f>
        <v>-7093556.349999994</v>
      </c>
      <c r="K34" s="18">
        <f t="shared" ref="K34:U34" si="99">K19-K23</f>
        <v>4589072.299999997</v>
      </c>
      <c r="L34" s="18">
        <f t="shared" si="99"/>
        <v>1620260.299999997</v>
      </c>
      <c r="M34" s="18">
        <f t="shared" si="99"/>
        <v>35142934.674999997</v>
      </c>
      <c r="N34" s="18">
        <f t="shared" si="99"/>
        <v>11124715.450000003</v>
      </c>
      <c r="O34" s="18">
        <f t="shared" si="99"/>
        <v>-11759715.924999982</v>
      </c>
      <c r="P34" s="18">
        <f t="shared" si="99"/>
        <v>552901.70000000298</v>
      </c>
      <c r="Q34" s="18">
        <f t="shared" si="99"/>
        <v>28353544.375</v>
      </c>
      <c r="R34" s="18">
        <f t="shared" si="99"/>
        <v>36015023.200000018</v>
      </c>
      <c r="S34" s="18">
        <f t="shared" si="99"/>
        <v>38033108.5</v>
      </c>
      <c r="T34" s="18">
        <f t="shared" si="99"/>
        <v>15818265.849999994</v>
      </c>
      <c r="U34" s="18">
        <f t="shared" si="99"/>
        <v>40741516.00000003</v>
      </c>
      <c r="W34" s="17" t="s">
        <v>31</v>
      </c>
      <c r="X34" s="18">
        <f>X19-X23</f>
        <v>-22003334.199999988</v>
      </c>
      <c r="Y34" s="18">
        <f t="shared" ref="Y34:AI34" si="100">Y19-Y23</f>
        <v>38889120.5</v>
      </c>
      <c r="Z34" s="18">
        <f t="shared" si="100"/>
        <v>33941100.5</v>
      </c>
      <c r="AA34" s="18">
        <f t="shared" si="100"/>
        <v>83173899.50000003</v>
      </c>
      <c r="AB34" s="18">
        <f t="shared" si="100"/>
        <v>46222793</v>
      </c>
      <c r="AC34" s="18">
        <f t="shared" si="100"/>
        <v>3015975.5000000149</v>
      </c>
      <c r="AD34" s="18">
        <f t="shared" si="100"/>
        <v>13212431.000000015</v>
      </c>
      <c r="AE34" s="18">
        <f t="shared" si="100"/>
        <v>49633392.5</v>
      </c>
      <c r="AF34" s="18">
        <f t="shared" si="100"/>
        <v>49827779</v>
      </c>
      <c r="AG34" s="18">
        <f t="shared" si="100"/>
        <v>43360010</v>
      </c>
      <c r="AH34" s="18">
        <f t="shared" si="100"/>
        <v>10685406.5</v>
      </c>
      <c r="AI34" s="18">
        <f t="shared" si="100"/>
        <v>34241516.00000003</v>
      </c>
      <c r="AK34" s="17" t="s">
        <v>31</v>
      </c>
      <c r="AL34" s="18">
        <f>AL19-AL23</f>
        <v>18427130</v>
      </c>
      <c r="AM34" s="18">
        <f t="shared" ref="AM34:AW34" si="101">AM19-AM23</f>
        <v>26218655</v>
      </c>
      <c r="AN34" s="18">
        <f t="shared" si="101"/>
        <v>21720455</v>
      </c>
      <c r="AO34" s="18">
        <f t="shared" si="101"/>
        <v>66477545</v>
      </c>
      <c r="AP34" s="18">
        <f t="shared" si="101"/>
        <v>32885630</v>
      </c>
      <c r="AQ34" s="18">
        <f t="shared" si="101"/>
        <v>-6393295</v>
      </c>
      <c r="AR34" s="18">
        <f t="shared" si="101"/>
        <v>2876210</v>
      </c>
      <c r="AS34" s="18">
        <f t="shared" si="101"/>
        <v>35986175</v>
      </c>
      <c r="AT34" s="18">
        <f t="shared" si="101"/>
        <v>36162890</v>
      </c>
      <c r="AU34" s="18">
        <f t="shared" si="101"/>
        <v>30283100</v>
      </c>
      <c r="AV34" s="18">
        <f t="shared" si="101"/>
        <v>578915</v>
      </c>
      <c r="AW34" s="18">
        <f t="shared" si="101"/>
        <v>21993560</v>
      </c>
    </row>
    <row r="35" spans="2:49" ht="18" x14ac:dyDescent="0.35">
      <c r="B35" s="99" t="s">
        <v>104</v>
      </c>
      <c r="C35" s="101">
        <f>'Cash Flow'!C14</f>
        <v>399459.45459458861</v>
      </c>
      <c r="F35" s="19"/>
      <c r="G35" s="19"/>
      <c r="H35" s="20" t="s">
        <v>32</v>
      </c>
      <c r="I35" s="20"/>
      <c r="J35" s="21">
        <f>J34/J5</f>
        <v>-5.0286222637921145E-2</v>
      </c>
      <c r="K35" s="21">
        <f t="shared" ref="K35:U35" si="102">K34/K5</f>
        <v>2.7987143193178424E-2</v>
      </c>
      <c r="L35" s="21">
        <f t="shared" si="102"/>
        <v>1.0245116125226531E-2</v>
      </c>
      <c r="M35" s="21">
        <f t="shared" si="102"/>
        <v>0.15013450013642449</v>
      </c>
      <c r="N35" s="21">
        <f t="shared" si="102"/>
        <v>5.9496249086709231E-2</v>
      </c>
      <c r="O35" s="21">
        <f t="shared" si="102"/>
        <v>-8.9146646611218766E-2</v>
      </c>
      <c r="P35" s="21">
        <f t="shared" si="102"/>
        <v>3.5429546202671311E-3</v>
      </c>
      <c r="Q35" s="21">
        <f t="shared" si="102"/>
        <v>0.12843384091765492</v>
      </c>
      <c r="R35" s="21">
        <f t="shared" si="102"/>
        <v>0.15274432884825553</v>
      </c>
      <c r="S35" s="21">
        <f t="shared" si="102"/>
        <v>0.15864093206339194</v>
      </c>
      <c r="T35" s="21">
        <f t="shared" si="102"/>
        <v>8.0629401604869172E-2</v>
      </c>
      <c r="U35" s="21">
        <f t="shared" si="102"/>
        <v>0.15422367885117105</v>
      </c>
      <c r="W35" s="20" t="s">
        <v>32</v>
      </c>
      <c r="X35" s="21">
        <f>X34/X5</f>
        <v>-0.14298317122148507</v>
      </c>
      <c r="Y35" s="21">
        <f t="shared" ref="Y35:AI35" si="103">Y34/Y5</f>
        <v>0.14230266767733485</v>
      </c>
      <c r="Z35" s="21">
        <f t="shared" si="103"/>
        <v>0.12876838963732612</v>
      </c>
      <c r="AA35" s="21">
        <f t="shared" si="103"/>
        <v>0.23096325795931305</v>
      </c>
      <c r="AB35" s="21">
        <f t="shared" si="103"/>
        <v>0.16068310527236088</v>
      </c>
      <c r="AC35" s="21">
        <f t="shared" si="103"/>
        <v>1.4861044898606861E-2</v>
      </c>
      <c r="AD35" s="21">
        <f t="shared" si="103"/>
        <v>5.9265020200674597E-2</v>
      </c>
      <c r="AE35" s="21">
        <f t="shared" si="103"/>
        <v>0.16861932195069335</v>
      </c>
      <c r="AF35" s="21">
        <f t="shared" si="103"/>
        <v>0.16906079708101809</v>
      </c>
      <c r="AG35" s="21">
        <f t="shared" si="103"/>
        <v>0.15373109827655282</v>
      </c>
      <c r="AH35" s="21">
        <f t="shared" si="103"/>
        <v>4.9019415032767438E-2</v>
      </c>
      <c r="AI35" s="21">
        <f t="shared" si="103"/>
        <v>0.12961846012213282</v>
      </c>
      <c r="AK35" s="20" t="s">
        <v>32</v>
      </c>
      <c r="AL35" s="21">
        <f>AL34/AL5</f>
        <v>7.903110699381978E-2</v>
      </c>
      <c r="AM35" s="21">
        <f t="shared" ref="AM35:AW35" si="104">AM34/AM5</f>
        <v>0.10553293444506834</v>
      </c>
      <c r="AN35" s="21">
        <f t="shared" si="104"/>
        <v>9.0645228601058753E-2</v>
      </c>
      <c r="AO35" s="21">
        <f t="shared" si="104"/>
        <v>0.2030595837552443</v>
      </c>
      <c r="AP35" s="21">
        <f t="shared" si="104"/>
        <v>0.12575141579959695</v>
      </c>
      <c r="AQ35" s="21">
        <f t="shared" si="104"/>
        <v>-3.4652850611532532E-2</v>
      </c>
      <c r="AR35" s="21">
        <f t="shared" si="104"/>
        <v>1.419152222074199E-2</v>
      </c>
      <c r="AS35" s="21">
        <f t="shared" si="104"/>
        <v>0.13448125414576267</v>
      </c>
      <c r="AT35" s="21">
        <f t="shared" si="104"/>
        <v>0.13496687678911992</v>
      </c>
      <c r="AU35" s="21">
        <f t="shared" si="104"/>
        <v>0.1181042081042081</v>
      </c>
      <c r="AV35" s="21">
        <f t="shared" si="104"/>
        <v>2.9213565360441851E-3</v>
      </c>
      <c r="AW35" s="21">
        <f t="shared" si="104"/>
        <v>9.1580306134346007E-2</v>
      </c>
    </row>
    <row r="37" spans="2:49" ht="15.6" x14ac:dyDescent="0.3">
      <c r="B37" s="104" t="s">
        <v>133</v>
      </c>
      <c r="C37" s="105">
        <f>-I69</f>
        <v>370000</v>
      </c>
      <c r="G37" t="s">
        <v>44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</v>
      </c>
      <c r="AH37" s="14">
        <v>0</v>
      </c>
      <c r="AI37" s="14">
        <v>0</v>
      </c>
      <c r="AL37" s="14">
        <v>0</v>
      </c>
      <c r="AM37" s="14">
        <v>0</v>
      </c>
      <c r="AN37" s="14">
        <v>0</v>
      </c>
      <c r="AO37" s="14">
        <v>0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</row>
    <row r="38" spans="2:49" ht="15.6" x14ac:dyDescent="0.3">
      <c r="B38" s="104" t="s">
        <v>134</v>
      </c>
      <c r="C38" s="105">
        <f>I66</f>
        <v>61000</v>
      </c>
    </row>
    <row r="39" spans="2:49" ht="15.6" x14ac:dyDescent="0.3">
      <c r="B39" s="102" t="s">
        <v>135</v>
      </c>
      <c r="C39" s="103">
        <f>SUM(C37:C38)</f>
        <v>431000</v>
      </c>
      <c r="F39" s="15" t="s">
        <v>46</v>
      </c>
      <c r="G39" s="16"/>
      <c r="H39" s="17" t="s">
        <v>31</v>
      </c>
      <c r="I39" s="17"/>
      <c r="J39" s="18">
        <f>J34-J37</f>
        <v>-7093556.349999994</v>
      </c>
      <c r="K39" s="18">
        <f t="shared" ref="K39:U39" si="105">K34-K37</f>
        <v>4589072.299999997</v>
      </c>
      <c r="L39" s="18">
        <f t="shared" si="105"/>
        <v>1620260.299999997</v>
      </c>
      <c r="M39" s="18">
        <f t="shared" si="105"/>
        <v>35142934.674999997</v>
      </c>
      <c r="N39" s="18">
        <f t="shared" si="105"/>
        <v>11124715.450000003</v>
      </c>
      <c r="O39" s="18">
        <f t="shared" si="105"/>
        <v>-11759715.924999982</v>
      </c>
      <c r="P39" s="18">
        <f t="shared" si="105"/>
        <v>552901.70000000298</v>
      </c>
      <c r="Q39" s="18">
        <f t="shared" si="105"/>
        <v>28353544.375</v>
      </c>
      <c r="R39" s="18">
        <f t="shared" si="105"/>
        <v>36015023.200000018</v>
      </c>
      <c r="S39" s="18">
        <f t="shared" si="105"/>
        <v>38033108.5</v>
      </c>
      <c r="T39" s="18">
        <f t="shared" si="105"/>
        <v>15818265.849999994</v>
      </c>
      <c r="U39" s="18">
        <f t="shared" si="105"/>
        <v>40741516.00000003</v>
      </c>
      <c r="W39" s="17" t="s">
        <v>31</v>
      </c>
      <c r="X39" s="18">
        <f>X34-X37</f>
        <v>-22003334.199999988</v>
      </c>
      <c r="Y39" s="18">
        <f t="shared" ref="Y39:AI39" si="106">Y34-Y37</f>
        <v>38889120.5</v>
      </c>
      <c r="Z39" s="18">
        <f t="shared" si="106"/>
        <v>33941100.5</v>
      </c>
      <c r="AA39" s="18">
        <f t="shared" si="106"/>
        <v>83173899.50000003</v>
      </c>
      <c r="AB39" s="18">
        <f t="shared" si="106"/>
        <v>46222793</v>
      </c>
      <c r="AC39" s="18">
        <f t="shared" si="106"/>
        <v>3015975.5000000149</v>
      </c>
      <c r="AD39" s="18">
        <f t="shared" si="106"/>
        <v>13212431.000000015</v>
      </c>
      <c r="AE39" s="18">
        <f t="shared" si="106"/>
        <v>49633392.5</v>
      </c>
      <c r="AF39" s="18">
        <f t="shared" si="106"/>
        <v>49827779</v>
      </c>
      <c r="AG39" s="18">
        <f t="shared" si="106"/>
        <v>43360010</v>
      </c>
      <c r="AH39" s="18">
        <f t="shared" si="106"/>
        <v>10685406.5</v>
      </c>
      <c r="AI39" s="18">
        <f t="shared" si="106"/>
        <v>34241516.00000003</v>
      </c>
      <c r="AK39" s="17" t="s">
        <v>31</v>
      </c>
      <c r="AL39" s="18">
        <f>AL34-AL37</f>
        <v>18427130</v>
      </c>
      <c r="AM39" s="18">
        <f t="shared" ref="AM39:AW39" si="107">AM34-AM37</f>
        <v>26218655</v>
      </c>
      <c r="AN39" s="18">
        <f t="shared" si="107"/>
        <v>21720455</v>
      </c>
      <c r="AO39" s="18">
        <f t="shared" si="107"/>
        <v>66477545</v>
      </c>
      <c r="AP39" s="18">
        <f t="shared" si="107"/>
        <v>32885630</v>
      </c>
      <c r="AQ39" s="18">
        <f t="shared" si="107"/>
        <v>-6393295</v>
      </c>
      <c r="AR39" s="18">
        <f t="shared" si="107"/>
        <v>2876210</v>
      </c>
      <c r="AS39" s="18">
        <f t="shared" si="107"/>
        <v>35986175</v>
      </c>
      <c r="AT39" s="18">
        <f t="shared" si="107"/>
        <v>36162890</v>
      </c>
      <c r="AU39" s="18">
        <f t="shared" si="107"/>
        <v>30283100</v>
      </c>
      <c r="AV39" s="18">
        <f t="shared" si="107"/>
        <v>578915</v>
      </c>
      <c r="AW39" s="18">
        <f t="shared" si="107"/>
        <v>21993560</v>
      </c>
    </row>
    <row r="40" spans="2:49" x14ac:dyDescent="0.3">
      <c r="F40" s="19"/>
      <c r="G40" s="19"/>
      <c r="H40" s="20" t="s">
        <v>32</v>
      </c>
      <c r="I40" s="20"/>
      <c r="J40" s="21">
        <f>J39/J5</f>
        <v>-5.0286222637921145E-2</v>
      </c>
      <c r="K40" s="21">
        <f t="shared" ref="K40:U40" si="108">K39/K5</f>
        <v>2.7987143193178424E-2</v>
      </c>
      <c r="L40" s="21">
        <f t="shared" si="108"/>
        <v>1.0245116125226531E-2</v>
      </c>
      <c r="M40" s="21">
        <f t="shared" si="108"/>
        <v>0.15013450013642449</v>
      </c>
      <c r="N40" s="21">
        <f t="shared" si="108"/>
        <v>5.9496249086709231E-2</v>
      </c>
      <c r="O40" s="21">
        <f t="shared" si="108"/>
        <v>-8.9146646611218766E-2</v>
      </c>
      <c r="P40" s="21">
        <f t="shared" si="108"/>
        <v>3.5429546202671311E-3</v>
      </c>
      <c r="Q40" s="21">
        <f t="shared" si="108"/>
        <v>0.12843384091765492</v>
      </c>
      <c r="R40" s="21">
        <f t="shared" si="108"/>
        <v>0.15274432884825553</v>
      </c>
      <c r="S40" s="21">
        <f t="shared" si="108"/>
        <v>0.15864093206339194</v>
      </c>
      <c r="T40" s="21">
        <f t="shared" si="108"/>
        <v>8.0629401604869172E-2</v>
      </c>
      <c r="U40" s="21">
        <f t="shared" si="108"/>
        <v>0.15422367885117105</v>
      </c>
      <c r="W40" s="20" t="s">
        <v>32</v>
      </c>
      <c r="X40" s="21">
        <f>X39/X5</f>
        <v>-0.14298317122148507</v>
      </c>
      <c r="Y40" s="21">
        <f t="shared" ref="Y40:AI40" si="109">Y39/Y5</f>
        <v>0.14230266767733485</v>
      </c>
      <c r="Z40" s="21">
        <f t="shared" si="109"/>
        <v>0.12876838963732612</v>
      </c>
      <c r="AA40" s="21">
        <f t="shared" si="109"/>
        <v>0.23096325795931305</v>
      </c>
      <c r="AB40" s="21">
        <f t="shared" si="109"/>
        <v>0.16068310527236088</v>
      </c>
      <c r="AC40" s="21">
        <f t="shared" si="109"/>
        <v>1.4861044898606861E-2</v>
      </c>
      <c r="AD40" s="21">
        <f t="shared" si="109"/>
        <v>5.9265020200674597E-2</v>
      </c>
      <c r="AE40" s="21">
        <f t="shared" si="109"/>
        <v>0.16861932195069335</v>
      </c>
      <c r="AF40" s="21">
        <f t="shared" si="109"/>
        <v>0.16906079708101809</v>
      </c>
      <c r="AG40" s="21">
        <f t="shared" si="109"/>
        <v>0.15373109827655282</v>
      </c>
      <c r="AH40" s="21">
        <f t="shared" si="109"/>
        <v>4.9019415032767438E-2</v>
      </c>
      <c r="AI40" s="21">
        <f t="shared" si="109"/>
        <v>0.12961846012213282</v>
      </c>
      <c r="AK40" s="20" t="s">
        <v>32</v>
      </c>
      <c r="AL40" s="21">
        <f>AL39/AL5</f>
        <v>7.903110699381978E-2</v>
      </c>
      <c r="AM40" s="21">
        <f t="shared" ref="AM40:AW40" si="110">AM39/AM5</f>
        <v>0.10553293444506834</v>
      </c>
      <c r="AN40" s="21">
        <f t="shared" si="110"/>
        <v>9.0645228601058753E-2</v>
      </c>
      <c r="AO40" s="21">
        <f t="shared" si="110"/>
        <v>0.2030595837552443</v>
      </c>
      <c r="AP40" s="21">
        <f t="shared" si="110"/>
        <v>0.12575141579959695</v>
      </c>
      <c r="AQ40" s="21">
        <f t="shared" si="110"/>
        <v>-3.4652850611532532E-2</v>
      </c>
      <c r="AR40" s="21">
        <f t="shared" si="110"/>
        <v>1.419152222074199E-2</v>
      </c>
      <c r="AS40" s="21">
        <f t="shared" si="110"/>
        <v>0.13448125414576267</v>
      </c>
      <c r="AT40" s="21">
        <f t="shared" si="110"/>
        <v>0.13496687678911992</v>
      </c>
      <c r="AU40" s="21">
        <f t="shared" si="110"/>
        <v>0.1181042081042081</v>
      </c>
      <c r="AV40" s="21">
        <f t="shared" si="110"/>
        <v>2.9213565360441851E-3</v>
      </c>
      <c r="AW40" s="21">
        <f t="shared" si="110"/>
        <v>9.1580306134346007E-2</v>
      </c>
    </row>
    <row r="41" spans="2:49" x14ac:dyDescent="0.3">
      <c r="B41" s="1" t="s">
        <v>199</v>
      </c>
      <c r="C41" s="106">
        <f>'Cash Flow'!H35</f>
        <v>0.22808943999999998</v>
      </c>
    </row>
    <row r="42" spans="2:49" x14ac:dyDescent="0.3">
      <c r="G42" t="s">
        <v>47</v>
      </c>
      <c r="J42" s="14">
        <f t="shared" ref="J42:U42" si="111">IF(J39&gt;0,J39*$C$30,0)</f>
        <v>0</v>
      </c>
      <c r="K42" s="14">
        <f t="shared" si="111"/>
        <v>229453.61499999987</v>
      </c>
      <c r="L42" s="14">
        <f t="shared" si="111"/>
        <v>81013.014999999854</v>
      </c>
      <c r="M42" s="14">
        <f t="shared" si="111"/>
        <v>1757146.7337499999</v>
      </c>
      <c r="N42" s="14">
        <f t="shared" si="111"/>
        <v>556235.7725000002</v>
      </c>
      <c r="O42" s="14">
        <f t="shared" si="111"/>
        <v>0</v>
      </c>
      <c r="P42" s="14">
        <f t="shared" si="111"/>
        <v>27645.085000000152</v>
      </c>
      <c r="Q42" s="14">
        <f t="shared" si="111"/>
        <v>1417677.21875</v>
      </c>
      <c r="R42" s="14">
        <f t="shared" si="111"/>
        <v>1800751.1600000011</v>
      </c>
      <c r="S42" s="14">
        <f t="shared" si="111"/>
        <v>1901655.425</v>
      </c>
      <c r="T42" s="14">
        <f t="shared" si="111"/>
        <v>790913.29249999975</v>
      </c>
      <c r="U42" s="14">
        <f t="shared" si="111"/>
        <v>2037075.8000000017</v>
      </c>
      <c r="X42" s="14">
        <f t="shared" ref="X42:AI42" si="112">IF(X39&gt;0,X39*$C$30,0)</f>
        <v>0</v>
      </c>
      <c r="Y42" s="14">
        <f t="shared" si="112"/>
        <v>1944456.0250000001</v>
      </c>
      <c r="Z42" s="14">
        <f t="shared" si="112"/>
        <v>1697055.0250000001</v>
      </c>
      <c r="AA42" s="14">
        <f t="shared" si="112"/>
        <v>4158694.9750000015</v>
      </c>
      <c r="AB42" s="14">
        <f t="shared" si="112"/>
        <v>2311139.65</v>
      </c>
      <c r="AC42" s="14">
        <f t="shared" si="112"/>
        <v>150798.77500000075</v>
      </c>
      <c r="AD42" s="14">
        <f t="shared" si="112"/>
        <v>660621.55000000075</v>
      </c>
      <c r="AE42" s="14">
        <f t="shared" si="112"/>
        <v>2481669.625</v>
      </c>
      <c r="AF42" s="14">
        <f t="shared" si="112"/>
        <v>2491388.9500000002</v>
      </c>
      <c r="AG42" s="14">
        <f t="shared" si="112"/>
        <v>2168000.5</v>
      </c>
      <c r="AH42" s="14">
        <f t="shared" si="112"/>
        <v>534270.32500000007</v>
      </c>
      <c r="AI42" s="14">
        <f t="shared" si="112"/>
        <v>1712075.8000000017</v>
      </c>
      <c r="AL42" s="14">
        <f t="shared" ref="AL42:AW42" si="113">IF(AL39&gt;0,AL39*$C$30,0)</f>
        <v>921356.5</v>
      </c>
      <c r="AM42" s="14">
        <f t="shared" si="113"/>
        <v>1310932.75</v>
      </c>
      <c r="AN42" s="14">
        <f t="shared" si="113"/>
        <v>1086022.75</v>
      </c>
      <c r="AO42" s="14">
        <f t="shared" si="113"/>
        <v>3323877.25</v>
      </c>
      <c r="AP42" s="14">
        <f t="shared" si="113"/>
        <v>1644281.5</v>
      </c>
      <c r="AQ42" s="14">
        <f t="shared" si="113"/>
        <v>0</v>
      </c>
      <c r="AR42" s="14">
        <f t="shared" si="113"/>
        <v>143810.5</v>
      </c>
      <c r="AS42" s="14">
        <f t="shared" si="113"/>
        <v>1799308.75</v>
      </c>
      <c r="AT42" s="14">
        <f t="shared" si="113"/>
        <v>1808144.5</v>
      </c>
      <c r="AU42" s="14">
        <f t="shared" si="113"/>
        <v>1514155</v>
      </c>
      <c r="AV42" s="14">
        <f t="shared" si="113"/>
        <v>28945.75</v>
      </c>
      <c r="AW42" s="14">
        <f t="shared" si="113"/>
        <v>1099678</v>
      </c>
    </row>
    <row r="43" spans="2:49" ht="18" x14ac:dyDescent="0.35">
      <c r="B43" s="128" t="s">
        <v>144</v>
      </c>
      <c r="C43" s="99" t="str">
        <f>_xlfn.XLOOKUP("PAYBACK",I94:AW94,I91:AW91,"+ de 36 meses")</f>
        <v>+ de 36 meses</v>
      </c>
    </row>
    <row r="44" spans="2:49" ht="22.2" customHeight="1" x14ac:dyDescent="0.3">
      <c r="F44" s="15" t="s">
        <v>48</v>
      </c>
      <c r="G44" s="16"/>
      <c r="H44" s="17" t="s">
        <v>31</v>
      </c>
      <c r="I44" s="17"/>
      <c r="J44" s="18">
        <f>J39-J42</f>
        <v>-7093556.349999994</v>
      </c>
      <c r="K44" s="18">
        <f t="shared" ref="K44:U44" si="114">K39-K42</f>
        <v>4359618.6849999968</v>
      </c>
      <c r="L44" s="18">
        <f t="shared" si="114"/>
        <v>1539247.2849999971</v>
      </c>
      <c r="M44" s="18">
        <f t="shared" si="114"/>
        <v>33385787.941249996</v>
      </c>
      <c r="N44" s="18">
        <f t="shared" si="114"/>
        <v>10568479.677500002</v>
      </c>
      <c r="O44" s="18">
        <f t="shared" si="114"/>
        <v>-11759715.924999982</v>
      </c>
      <c r="P44" s="18">
        <f t="shared" si="114"/>
        <v>525256.61500000278</v>
      </c>
      <c r="Q44" s="18">
        <f t="shared" si="114"/>
        <v>26935867.15625</v>
      </c>
      <c r="R44" s="18">
        <f t="shared" si="114"/>
        <v>34214272.040000014</v>
      </c>
      <c r="S44" s="18">
        <f t="shared" si="114"/>
        <v>36131453.075000003</v>
      </c>
      <c r="T44" s="18">
        <f t="shared" si="114"/>
        <v>15027352.557499994</v>
      </c>
      <c r="U44" s="18">
        <f t="shared" si="114"/>
        <v>38704440.200000025</v>
      </c>
      <c r="W44" s="17" t="s">
        <v>31</v>
      </c>
      <c r="X44" s="18">
        <f>X39-X42</f>
        <v>-22003334.199999988</v>
      </c>
      <c r="Y44" s="18">
        <f t="shared" ref="Y44:AI44" si="115">Y39-Y42</f>
        <v>36944664.475000001</v>
      </c>
      <c r="Z44" s="18">
        <f t="shared" si="115"/>
        <v>32244045.475000001</v>
      </c>
      <c r="AA44" s="18">
        <f t="shared" si="115"/>
        <v>79015204.525000036</v>
      </c>
      <c r="AB44" s="18">
        <f t="shared" si="115"/>
        <v>43911653.350000001</v>
      </c>
      <c r="AC44" s="18">
        <f t="shared" si="115"/>
        <v>2865176.7250000141</v>
      </c>
      <c r="AD44" s="18">
        <f t="shared" si="115"/>
        <v>12551809.450000014</v>
      </c>
      <c r="AE44" s="18">
        <f t="shared" si="115"/>
        <v>47151722.875</v>
      </c>
      <c r="AF44" s="18">
        <f t="shared" si="115"/>
        <v>47336390.049999997</v>
      </c>
      <c r="AG44" s="18">
        <f t="shared" si="115"/>
        <v>41192009.5</v>
      </c>
      <c r="AH44" s="18">
        <f t="shared" si="115"/>
        <v>10151136.175000001</v>
      </c>
      <c r="AI44" s="18">
        <f t="shared" si="115"/>
        <v>32529440.200000029</v>
      </c>
      <c r="AK44" s="17" t="s">
        <v>31</v>
      </c>
      <c r="AL44" s="18">
        <f>AL39-AL42</f>
        <v>17505773.5</v>
      </c>
      <c r="AM44" s="18">
        <f t="shared" ref="AM44:AW44" si="116">AM39-AM42</f>
        <v>24907722.25</v>
      </c>
      <c r="AN44" s="18">
        <f t="shared" si="116"/>
        <v>20634432.25</v>
      </c>
      <c r="AO44" s="18">
        <f t="shared" si="116"/>
        <v>63153667.75</v>
      </c>
      <c r="AP44" s="18">
        <f t="shared" si="116"/>
        <v>31241348.5</v>
      </c>
      <c r="AQ44" s="18">
        <f t="shared" si="116"/>
        <v>-6393295</v>
      </c>
      <c r="AR44" s="18">
        <f t="shared" si="116"/>
        <v>2732399.5</v>
      </c>
      <c r="AS44" s="18">
        <f t="shared" si="116"/>
        <v>34186866.25</v>
      </c>
      <c r="AT44" s="18">
        <f t="shared" si="116"/>
        <v>34354745.5</v>
      </c>
      <c r="AU44" s="18">
        <f t="shared" si="116"/>
        <v>28768945</v>
      </c>
      <c r="AV44" s="18">
        <f t="shared" si="116"/>
        <v>549969.25</v>
      </c>
      <c r="AW44" s="18">
        <f t="shared" si="116"/>
        <v>20893882</v>
      </c>
    </row>
    <row r="45" spans="2:49" x14ac:dyDescent="0.3">
      <c r="F45" s="19"/>
      <c r="G45" s="19"/>
      <c r="H45" s="20" t="s">
        <v>32</v>
      </c>
      <c r="I45" s="20"/>
      <c r="J45" s="21">
        <f>J44/J5</f>
        <v>-5.0286222637921145E-2</v>
      </c>
      <c r="K45" s="21">
        <f t="shared" ref="K45:U45" si="117">K44/K5</f>
        <v>2.6587786033519498E-2</v>
      </c>
      <c r="L45" s="21">
        <f t="shared" si="117"/>
        <v>9.7328603189652044E-3</v>
      </c>
      <c r="M45" s="21">
        <f t="shared" si="117"/>
        <v>0.14262777512960326</v>
      </c>
      <c r="N45" s="21">
        <f t="shared" si="117"/>
        <v>5.6521436632373766E-2</v>
      </c>
      <c r="O45" s="21">
        <f t="shared" si="117"/>
        <v>-8.9146646611218766E-2</v>
      </c>
      <c r="P45" s="21">
        <f t="shared" si="117"/>
        <v>3.3658068892537742E-3</v>
      </c>
      <c r="Q45" s="21">
        <f t="shared" si="117"/>
        <v>0.12201214887177218</v>
      </c>
      <c r="R45" s="21">
        <f t="shared" si="117"/>
        <v>0.14510711240584276</v>
      </c>
      <c r="S45" s="21">
        <f t="shared" si="117"/>
        <v>0.15070888546022237</v>
      </c>
      <c r="T45" s="21">
        <f t="shared" si="117"/>
        <v>7.6597931524625712E-2</v>
      </c>
      <c r="U45" s="21">
        <f t="shared" si="117"/>
        <v>0.14651249490861248</v>
      </c>
      <c r="W45" s="20" t="s">
        <v>32</v>
      </c>
      <c r="X45" s="21">
        <f>X44/X5</f>
        <v>-0.14298317122148507</v>
      </c>
      <c r="Y45" s="21">
        <f t="shared" ref="Y45:AI45" si="118">Y44/Y5</f>
        <v>0.13518753429346811</v>
      </c>
      <c r="Z45" s="21">
        <f t="shared" si="118"/>
        <v>0.12232997015545982</v>
      </c>
      <c r="AA45" s="21">
        <f t="shared" si="118"/>
        <v>0.2194150950613474</v>
      </c>
      <c r="AB45" s="21">
        <f t="shared" si="118"/>
        <v>0.15264895000874285</v>
      </c>
      <c r="AC45" s="21">
        <f t="shared" si="118"/>
        <v>1.4117992653676519E-2</v>
      </c>
      <c r="AD45" s="21">
        <f t="shared" si="118"/>
        <v>5.6301769190640866E-2</v>
      </c>
      <c r="AE45" s="21">
        <f t="shared" si="118"/>
        <v>0.16018835585315869</v>
      </c>
      <c r="AF45" s="21">
        <f t="shared" si="118"/>
        <v>0.16060775722696718</v>
      </c>
      <c r="AG45" s="21">
        <f t="shared" si="118"/>
        <v>0.14604454336272518</v>
      </c>
      <c r="AH45" s="21">
        <f t="shared" si="118"/>
        <v>4.6568444281129072E-2</v>
      </c>
      <c r="AI45" s="21">
        <f t="shared" si="118"/>
        <v>0.12313753711602618</v>
      </c>
      <c r="AK45" s="20" t="s">
        <v>32</v>
      </c>
      <c r="AL45" s="21">
        <f>AL44/AL5</f>
        <v>7.5079551644128786E-2</v>
      </c>
      <c r="AM45" s="21">
        <f t="shared" ref="AM45:AW45" si="119">AM44/AM5</f>
        <v>0.10025628772281492</v>
      </c>
      <c r="AN45" s="21">
        <f t="shared" si="119"/>
        <v>8.6112967171005819E-2</v>
      </c>
      <c r="AO45" s="21">
        <f t="shared" si="119"/>
        <v>0.19290660456748207</v>
      </c>
      <c r="AP45" s="21">
        <f t="shared" si="119"/>
        <v>0.11946384500961711</v>
      </c>
      <c r="AQ45" s="21">
        <f t="shared" si="119"/>
        <v>-3.4652850611532532E-2</v>
      </c>
      <c r="AR45" s="21">
        <f t="shared" si="119"/>
        <v>1.3481946109704891E-2</v>
      </c>
      <c r="AS45" s="21">
        <f t="shared" si="119"/>
        <v>0.12775719143847455</v>
      </c>
      <c r="AT45" s="21">
        <f t="shared" si="119"/>
        <v>0.12821853294966393</v>
      </c>
      <c r="AU45" s="21">
        <f t="shared" si="119"/>
        <v>0.1121989976989977</v>
      </c>
      <c r="AV45" s="21">
        <f t="shared" si="119"/>
        <v>2.7752887092419758E-3</v>
      </c>
      <c r="AW45" s="21">
        <f t="shared" si="119"/>
        <v>8.7001290827628711E-2</v>
      </c>
    </row>
    <row r="47" spans="2:49" x14ac:dyDescent="0.3"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</row>
    <row r="50" spans="6:49" x14ac:dyDescent="0.3">
      <c r="G50" t="s">
        <v>49</v>
      </c>
      <c r="J50" s="14">
        <f t="shared" ref="J50:U50" si="120">J5*$C$32</f>
        <v>1410636.1500000004</v>
      </c>
      <c r="K50" s="14">
        <f t="shared" si="120"/>
        <v>1639707.3</v>
      </c>
      <c r="L50" s="14">
        <f t="shared" si="120"/>
        <v>1581495.3</v>
      </c>
      <c r="M50" s="14">
        <f t="shared" si="120"/>
        <v>2340763.4250000003</v>
      </c>
      <c r="N50" s="14">
        <f t="shared" si="120"/>
        <v>1869817.95</v>
      </c>
      <c r="O50" s="14">
        <f t="shared" si="120"/>
        <v>1319142.8250000004</v>
      </c>
      <c r="P50" s="14">
        <f t="shared" si="120"/>
        <v>1560566.7</v>
      </c>
      <c r="Q50" s="14">
        <f t="shared" si="120"/>
        <v>2207638.125</v>
      </c>
      <c r="R50" s="14">
        <f t="shared" si="120"/>
        <v>2357863.2000000002</v>
      </c>
      <c r="S50" s="14">
        <f t="shared" si="120"/>
        <v>2397433.5</v>
      </c>
      <c r="T50" s="14">
        <f t="shared" si="120"/>
        <v>1961848.35</v>
      </c>
      <c r="U50" s="14">
        <f t="shared" si="120"/>
        <v>2641716.0000000005</v>
      </c>
      <c r="W50" s="14"/>
      <c r="X50" s="14">
        <f t="shared" ref="X50:AI50" si="121">X5*$C$32</f>
        <v>1538875.8000000003</v>
      </c>
      <c r="Y50" s="14">
        <f t="shared" si="121"/>
        <v>2732845.5</v>
      </c>
      <c r="Z50" s="14">
        <f t="shared" si="121"/>
        <v>2635825.5000000005</v>
      </c>
      <c r="AA50" s="14">
        <f t="shared" si="121"/>
        <v>3601174.5000000005</v>
      </c>
      <c r="AB50" s="14">
        <f t="shared" si="121"/>
        <v>2876643</v>
      </c>
      <c r="AC50" s="14">
        <f t="shared" si="121"/>
        <v>2029450.5000000002</v>
      </c>
      <c r="AD50" s="14">
        <f t="shared" si="121"/>
        <v>2229381.0000000005</v>
      </c>
      <c r="AE50" s="14">
        <f t="shared" si="121"/>
        <v>2943517.5</v>
      </c>
      <c r="AF50" s="14">
        <f t="shared" si="121"/>
        <v>2947329</v>
      </c>
      <c r="AG50" s="14">
        <f t="shared" si="121"/>
        <v>2820510</v>
      </c>
      <c r="AH50" s="14">
        <f t="shared" si="121"/>
        <v>2179831.5</v>
      </c>
      <c r="AI50" s="14">
        <f t="shared" si="121"/>
        <v>2641716.0000000005</v>
      </c>
      <c r="AK50" s="14"/>
      <c r="AL50" s="14">
        <f t="shared" ref="AL50:AW50" si="122">AL5*$C$32</f>
        <v>2331630</v>
      </c>
      <c r="AM50" s="14">
        <f t="shared" si="122"/>
        <v>2484405</v>
      </c>
      <c r="AN50" s="14">
        <f t="shared" si="122"/>
        <v>2396205</v>
      </c>
      <c r="AO50" s="14">
        <f t="shared" si="122"/>
        <v>3273795</v>
      </c>
      <c r="AP50" s="14">
        <f t="shared" si="122"/>
        <v>2615130</v>
      </c>
      <c r="AQ50" s="14">
        <f t="shared" si="122"/>
        <v>1844955</v>
      </c>
      <c r="AR50" s="14">
        <f t="shared" si="122"/>
        <v>2026710</v>
      </c>
      <c r="AS50" s="14">
        <f t="shared" si="122"/>
        <v>2675925</v>
      </c>
      <c r="AT50" s="14">
        <f t="shared" si="122"/>
        <v>2679390</v>
      </c>
      <c r="AU50" s="14">
        <f t="shared" si="122"/>
        <v>2564100</v>
      </c>
      <c r="AV50" s="14">
        <f t="shared" si="122"/>
        <v>1981665</v>
      </c>
      <c r="AW50" s="14">
        <f t="shared" si="122"/>
        <v>2401560</v>
      </c>
    </row>
    <row r="52" spans="6:49" x14ac:dyDescent="0.3">
      <c r="F52" s="43" t="s">
        <v>73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</row>
    <row r="53" spans="6:49" x14ac:dyDescent="0.3">
      <c r="F53" s="22"/>
      <c r="G53" s="22" t="s">
        <v>74</v>
      </c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</row>
    <row r="54" spans="6:49" x14ac:dyDescent="0.3">
      <c r="F54" s="22"/>
      <c r="G54" s="22" t="s">
        <v>61</v>
      </c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</row>
    <row r="55" spans="6:49" x14ac:dyDescent="0.3">
      <c r="F55" s="22"/>
      <c r="G55" s="22" t="s">
        <v>62</v>
      </c>
      <c r="H55" s="22"/>
      <c r="I55" s="22"/>
      <c r="J55" s="44">
        <f>SUMIF($F$11:$F$33,"Proveedores",J11:J33)</f>
        <v>129290173.70000002</v>
      </c>
      <c r="K55" s="44">
        <f t="shared" ref="K55:U55" si="123">SUMIF($F$11:$F$33,"Proveedores",K11:K33)</f>
        <v>137994877.40000001</v>
      </c>
      <c r="L55" s="44">
        <f t="shared" si="123"/>
        <v>135782821.40000001</v>
      </c>
      <c r="M55" s="44">
        <f t="shared" si="123"/>
        <v>169435010.15000004</v>
      </c>
      <c r="N55" s="44">
        <f t="shared" si="123"/>
        <v>151539082.09999999</v>
      </c>
      <c r="O55" s="44">
        <f t="shared" si="123"/>
        <v>125813427.35000001</v>
      </c>
      <c r="P55" s="44">
        <f t="shared" si="123"/>
        <v>134987534.59999999</v>
      </c>
      <c r="Q55" s="44">
        <f t="shared" si="123"/>
        <v>164376248.75</v>
      </c>
      <c r="R55" s="44">
        <f t="shared" si="123"/>
        <v>170084801.60000002</v>
      </c>
      <c r="S55" s="44">
        <f t="shared" si="123"/>
        <v>171588473</v>
      </c>
      <c r="T55" s="44">
        <f t="shared" si="123"/>
        <v>155036237.30000001</v>
      </c>
      <c r="U55" s="44">
        <f t="shared" si="123"/>
        <v>189871208.00000003</v>
      </c>
      <c r="X55" s="44">
        <f t="shared" ref="X55:AI55" si="124">SUMIF($F$11:$F$33,"Proveedores",X11:X33)</f>
        <v>153963280.40000001</v>
      </c>
      <c r="Y55" s="44">
        <f t="shared" si="124"/>
        <v>199334129</v>
      </c>
      <c r="Z55" s="44">
        <f t="shared" si="124"/>
        <v>195647369</v>
      </c>
      <c r="AA55" s="44">
        <f t="shared" si="124"/>
        <v>232330631.00000003</v>
      </c>
      <c r="AB55" s="44">
        <f t="shared" si="124"/>
        <v>204798434</v>
      </c>
      <c r="AC55" s="44">
        <f t="shared" si="124"/>
        <v>172605119</v>
      </c>
      <c r="AD55" s="44">
        <f t="shared" si="124"/>
        <v>180202478</v>
      </c>
      <c r="AE55" s="44">
        <f t="shared" si="124"/>
        <v>207339665</v>
      </c>
      <c r="AF55" s="44">
        <f t="shared" si="124"/>
        <v>207484502</v>
      </c>
      <c r="AG55" s="44">
        <f t="shared" si="124"/>
        <v>202665380</v>
      </c>
      <c r="AH55" s="44">
        <f t="shared" si="124"/>
        <v>178319597</v>
      </c>
      <c r="AI55" s="44">
        <f t="shared" si="124"/>
        <v>195871208.00000003</v>
      </c>
      <c r="AL55" s="44">
        <f t="shared" ref="AL55:AW55" si="125">SUMIF($F$11:$F$33,"Proveedores",AL11:AL33)</f>
        <v>184087940</v>
      </c>
      <c r="AM55" s="44">
        <f t="shared" si="125"/>
        <v>189893390</v>
      </c>
      <c r="AN55" s="44">
        <f t="shared" si="125"/>
        <v>186541790</v>
      </c>
      <c r="AO55" s="44">
        <f t="shared" si="125"/>
        <v>219890210</v>
      </c>
      <c r="AP55" s="44">
        <f t="shared" si="125"/>
        <v>194860940</v>
      </c>
      <c r="AQ55" s="44">
        <f t="shared" si="125"/>
        <v>165594290</v>
      </c>
      <c r="AR55" s="44">
        <f t="shared" si="125"/>
        <v>172500980</v>
      </c>
      <c r="AS55" s="44">
        <f t="shared" si="125"/>
        <v>197171150</v>
      </c>
      <c r="AT55" s="44">
        <f t="shared" si="125"/>
        <v>197302820</v>
      </c>
      <c r="AU55" s="44">
        <f t="shared" si="125"/>
        <v>192921800</v>
      </c>
      <c r="AV55" s="44">
        <f t="shared" si="125"/>
        <v>170789270</v>
      </c>
      <c r="AW55" s="44">
        <f t="shared" si="125"/>
        <v>186745280</v>
      </c>
    </row>
    <row r="56" spans="6:49" x14ac:dyDescent="0.3"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</row>
    <row r="57" spans="6:49" x14ac:dyDescent="0.3">
      <c r="H57" s="51" t="s">
        <v>50</v>
      </c>
      <c r="I57" s="50"/>
      <c r="J57" s="50">
        <v>1420</v>
      </c>
      <c r="K57" s="50">
        <v>1420</v>
      </c>
      <c r="L57" s="50">
        <v>1420</v>
      </c>
      <c r="M57" s="50">
        <v>1420</v>
      </c>
      <c r="N57" s="50">
        <v>1420</v>
      </c>
      <c r="O57" s="50">
        <v>1420</v>
      </c>
      <c r="P57" s="50">
        <v>1420</v>
      </c>
      <c r="Q57" s="50">
        <v>1420</v>
      </c>
      <c r="R57" s="50">
        <v>1420</v>
      </c>
      <c r="S57" s="50">
        <v>1420</v>
      </c>
      <c r="T57" s="50">
        <v>1420</v>
      </c>
      <c r="U57" s="50">
        <v>1420</v>
      </c>
      <c r="X57" s="50">
        <v>1420</v>
      </c>
      <c r="Y57" s="50">
        <v>1420</v>
      </c>
      <c r="Z57" s="50">
        <v>1420</v>
      </c>
      <c r="AA57" s="50">
        <v>1420</v>
      </c>
      <c r="AB57" s="50">
        <v>1420</v>
      </c>
      <c r="AC57" s="50">
        <v>1420</v>
      </c>
      <c r="AD57" s="50">
        <v>1420</v>
      </c>
      <c r="AE57" s="50">
        <v>1420</v>
      </c>
      <c r="AF57" s="50">
        <v>1420</v>
      </c>
      <c r="AG57" s="50">
        <v>1420</v>
      </c>
      <c r="AH57" s="50">
        <v>1420</v>
      </c>
      <c r="AI57" s="50">
        <v>1420</v>
      </c>
      <c r="AL57" s="50">
        <v>1420</v>
      </c>
      <c r="AM57" s="50">
        <v>1420</v>
      </c>
      <c r="AN57" s="50">
        <v>1420</v>
      </c>
      <c r="AO57" s="50">
        <v>1420</v>
      </c>
      <c r="AP57" s="50">
        <v>1420</v>
      </c>
      <c r="AQ57" s="50">
        <v>1420</v>
      </c>
      <c r="AR57" s="50">
        <v>1420</v>
      </c>
      <c r="AS57" s="50">
        <v>1420</v>
      </c>
      <c r="AT57" s="50">
        <v>1420</v>
      </c>
      <c r="AU57" s="50">
        <v>1420</v>
      </c>
      <c r="AV57" s="50">
        <v>1420</v>
      </c>
      <c r="AW57" s="50">
        <v>1420</v>
      </c>
    </row>
    <row r="58" spans="6:49" x14ac:dyDescent="0.3">
      <c r="J58" s="2" t="s">
        <v>0</v>
      </c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X58" s="2" t="s">
        <v>0</v>
      </c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L58" s="2" t="s">
        <v>0</v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</row>
    <row r="59" spans="6:49" x14ac:dyDescent="0.3">
      <c r="J59" s="4">
        <v>1</v>
      </c>
      <c r="K59" s="4">
        <v>2</v>
      </c>
      <c r="L59" s="4">
        <v>3</v>
      </c>
      <c r="M59" s="4">
        <v>4</v>
      </c>
      <c r="N59" s="4">
        <v>5</v>
      </c>
      <c r="O59" s="4">
        <v>6</v>
      </c>
      <c r="P59" s="4">
        <v>7</v>
      </c>
      <c r="Q59" s="4">
        <v>8</v>
      </c>
      <c r="R59" s="4">
        <v>9</v>
      </c>
      <c r="S59" s="4">
        <v>10</v>
      </c>
      <c r="T59" s="4">
        <v>11</v>
      </c>
      <c r="U59" s="4">
        <v>12</v>
      </c>
      <c r="X59" s="4">
        <v>1</v>
      </c>
      <c r="Y59" s="4">
        <v>2</v>
      </c>
      <c r="Z59" s="4">
        <v>3</v>
      </c>
      <c r="AA59" s="4">
        <v>4</v>
      </c>
      <c r="AB59" s="4">
        <v>5</v>
      </c>
      <c r="AC59" s="4">
        <v>6</v>
      </c>
      <c r="AD59" s="4">
        <v>7</v>
      </c>
      <c r="AE59" s="4">
        <v>8</v>
      </c>
      <c r="AF59" s="4">
        <v>9</v>
      </c>
      <c r="AG59" s="4">
        <v>10</v>
      </c>
      <c r="AH59" s="4">
        <v>11</v>
      </c>
      <c r="AI59" s="4">
        <v>12</v>
      </c>
      <c r="AL59" s="4">
        <v>1</v>
      </c>
      <c r="AM59" s="4">
        <v>2</v>
      </c>
      <c r="AN59" s="4">
        <v>3</v>
      </c>
      <c r="AO59" s="4">
        <v>4</v>
      </c>
      <c r="AP59" s="4">
        <v>5</v>
      </c>
      <c r="AQ59" s="4">
        <v>6</v>
      </c>
      <c r="AR59" s="4">
        <v>7</v>
      </c>
      <c r="AS59" s="4">
        <v>8</v>
      </c>
      <c r="AT59" s="4">
        <v>9</v>
      </c>
      <c r="AU59" s="4">
        <v>10</v>
      </c>
      <c r="AV59" s="4">
        <v>11</v>
      </c>
      <c r="AW59" s="4">
        <v>12</v>
      </c>
    </row>
    <row r="60" spans="6:49" x14ac:dyDescent="0.3">
      <c r="I60" t="s">
        <v>51</v>
      </c>
      <c r="J60" s="4">
        <v>31</v>
      </c>
      <c r="K60" s="4">
        <v>30</v>
      </c>
      <c r="L60" s="4">
        <v>31</v>
      </c>
      <c r="M60" s="4">
        <v>30</v>
      </c>
      <c r="N60" s="4">
        <v>31</v>
      </c>
      <c r="O60" s="4">
        <v>31</v>
      </c>
      <c r="P60" s="4">
        <v>28</v>
      </c>
      <c r="Q60" s="4">
        <v>31</v>
      </c>
      <c r="R60" s="4">
        <v>30</v>
      </c>
      <c r="S60" s="4">
        <v>31</v>
      </c>
      <c r="T60" s="4">
        <v>30</v>
      </c>
      <c r="U60" s="4">
        <v>31</v>
      </c>
      <c r="X60" s="4">
        <v>31</v>
      </c>
      <c r="Y60" s="4">
        <v>30</v>
      </c>
      <c r="Z60" s="4">
        <v>31</v>
      </c>
      <c r="AA60" s="4">
        <v>30</v>
      </c>
      <c r="AB60" s="4">
        <v>31</v>
      </c>
      <c r="AC60" s="4">
        <v>31</v>
      </c>
      <c r="AD60" s="4">
        <v>28</v>
      </c>
      <c r="AE60" s="4">
        <v>31</v>
      </c>
      <c r="AF60" s="4">
        <v>30</v>
      </c>
      <c r="AG60" s="4">
        <v>31</v>
      </c>
      <c r="AH60" s="4">
        <v>30</v>
      </c>
      <c r="AI60" s="4">
        <v>31</v>
      </c>
      <c r="AL60" s="4">
        <v>31</v>
      </c>
      <c r="AM60" s="4">
        <v>30</v>
      </c>
      <c r="AN60" s="4">
        <v>31</v>
      </c>
      <c r="AO60" s="4">
        <v>30</v>
      </c>
      <c r="AP60" s="4">
        <v>31</v>
      </c>
      <c r="AQ60" s="4">
        <v>31</v>
      </c>
      <c r="AR60" s="4">
        <v>28</v>
      </c>
      <c r="AS60" s="4">
        <v>31</v>
      </c>
      <c r="AT60" s="4">
        <v>30</v>
      </c>
      <c r="AU60" s="4">
        <v>31</v>
      </c>
      <c r="AV60" s="4">
        <v>30</v>
      </c>
      <c r="AW60" s="4">
        <v>31</v>
      </c>
    </row>
    <row r="61" spans="6:49" ht="21" x14ac:dyDescent="0.4">
      <c r="F61" s="153" t="s">
        <v>52</v>
      </c>
      <c r="G61" s="45"/>
      <c r="H61" s="45" t="s">
        <v>53</v>
      </c>
      <c r="I61" s="45"/>
      <c r="J61" s="46" t="s">
        <v>2</v>
      </c>
      <c r="K61" s="46" t="s">
        <v>3</v>
      </c>
      <c r="L61" s="46" t="s">
        <v>4</v>
      </c>
      <c r="M61" s="46" t="s">
        <v>5</v>
      </c>
      <c r="N61" s="46" t="s">
        <v>6</v>
      </c>
      <c r="O61" s="46" t="s">
        <v>7</v>
      </c>
      <c r="P61" s="46" t="s">
        <v>8</v>
      </c>
      <c r="Q61" s="46" t="s">
        <v>9</v>
      </c>
      <c r="R61" s="46" t="s">
        <v>10</v>
      </c>
      <c r="S61" s="46" t="s">
        <v>11</v>
      </c>
      <c r="T61" s="46" t="s">
        <v>12</v>
      </c>
      <c r="U61" s="46" t="s">
        <v>13</v>
      </c>
      <c r="X61" s="46" t="s">
        <v>2</v>
      </c>
      <c r="Y61" s="46" t="s">
        <v>3</v>
      </c>
      <c r="Z61" s="46" t="s">
        <v>4</v>
      </c>
      <c r="AA61" s="46" t="s">
        <v>5</v>
      </c>
      <c r="AB61" s="46" t="s">
        <v>6</v>
      </c>
      <c r="AC61" s="46" t="s">
        <v>7</v>
      </c>
      <c r="AD61" s="46" t="s">
        <v>8</v>
      </c>
      <c r="AE61" s="46" t="s">
        <v>9</v>
      </c>
      <c r="AF61" s="46" t="s">
        <v>10</v>
      </c>
      <c r="AG61" s="46" t="s">
        <v>11</v>
      </c>
      <c r="AH61" s="46" t="s">
        <v>12</v>
      </c>
      <c r="AI61" s="46" t="s">
        <v>13</v>
      </c>
      <c r="AL61" s="46" t="s">
        <v>2</v>
      </c>
      <c r="AM61" s="46" t="s">
        <v>3</v>
      </c>
      <c r="AN61" s="46" t="s">
        <v>4</v>
      </c>
      <c r="AO61" s="46" t="s">
        <v>5</v>
      </c>
      <c r="AP61" s="46" t="s">
        <v>6</v>
      </c>
      <c r="AQ61" s="46" t="s">
        <v>7</v>
      </c>
      <c r="AR61" s="46" t="s">
        <v>8</v>
      </c>
      <c r="AS61" s="46" t="s">
        <v>9</v>
      </c>
      <c r="AT61" s="46" t="s">
        <v>10</v>
      </c>
      <c r="AU61" s="46" t="s">
        <v>11</v>
      </c>
      <c r="AV61" s="46" t="s">
        <v>12</v>
      </c>
      <c r="AW61" s="46" t="s">
        <v>13</v>
      </c>
    </row>
    <row r="62" spans="6:49" ht="15.6" x14ac:dyDescent="0.3">
      <c r="F62" s="24" t="s">
        <v>54</v>
      </c>
      <c r="G62" s="24"/>
      <c r="H62" s="24" t="s">
        <v>55</v>
      </c>
      <c r="I62" s="25"/>
      <c r="J62" s="25">
        <f>J44/J57</f>
        <v>-4995.4622183098545</v>
      </c>
      <c r="K62" s="25">
        <f t="shared" ref="K62:U62" si="126">K44/K57</f>
        <v>3070.1540035211247</v>
      </c>
      <c r="L62" s="25">
        <f t="shared" si="126"/>
        <v>1083.9769612676037</v>
      </c>
      <c r="M62" s="25">
        <f t="shared" si="126"/>
        <v>23511.118268485912</v>
      </c>
      <c r="N62" s="25">
        <f t="shared" si="126"/>
        <v>7442.5913221830997</v>
      </c>
      <c r="O62" s="25">
        <f t="shared" si="126"/>
        <v>-8281.4900880281566</v>
      </c>
      <c r="P62" s="25">
        <f t="shared" si="126"/>
        <v>369.89902464788929</v>
      </c>
      <c r="Q62" s="25">
        <f t="shared" si="126"/>
        <v>18968.920532570424</v>
      </c>
      <c r="R62" s="25">
        <f t="shared" si="126"/>
        <v>24094.557774647896</v>
      </c>
      <c r="S62" s="25">
        <f t="shared" si="126"/>
        <v>25444.68526408451</v>
      </c>
      <c r="T62" s="25">
        <f t="shared" si="126"/>
        <v>10582.642646126757</v>
      </c>
      <c r="U62" s="25">
        <f t="shared" si="126"/>
        <v>27256.648028169031</v>
      </c>
      <c r="X62" s="25">
        <f>X44/X57</f>
        <v>-15495.305774647879</v>
      </c>
      <c r="Y62" s="25">
        <f t="shared" ref="Y62:AI62" si="127">Y44/Y57</f>
        <v>26017.36934859155</v>
      </c>
      <c r="Z62" s="25">
        <f t="shared" si="127"/>
        <v>22707.074278169017</v>
      </c>
      <c r="AA62" s="25">
        <f t="shared" si="127"/>
        <v>55644.510228873267</v>
      </c>
      <c r="AB62" s="25">
        <f t="shared" si="127"/>
        <v>30923.699542253522</v>
      </c>
      <c r="AC62" s="25">
        <f t="shared" si="127"/>
        <v>2017.7300880281789</v>
      </c>
      <c r="AD62" s="25">
        <f t="shared" si="127"/>
        <v>8839.302429577474</v>
      </c>
      <c r="AE62" s="25">
        <f t="shared" si="127"/>
        <v>33205.438644366201</v>
      </c>
      <c r="AF62" s="25">
        <f t="shared" si="127"/>
        <v>33335.48595070422</v>
      </c>
      <c r="AG62" s="25">
        <f t="shared" si="127"/>
        <v>29008.457394366196</v>
      </c>
      <c r="AH62" s="25">
        <f t="shared" si="127"/>
        <v>7148.6874471830988</v>
      </c>
      <c r="AI62" s="25">
        <f t="shared" si="127"/>
        <v>22908.056478873259</v>
      </c>
      <c r="AL62" s="25">
        <f>AL44/AL57</f>
        <v>12328.009507042254</v>
      </c>
      <c r="AM62" s="25">
        <f t="shared" ref="AM62:AW62" si="128">AM44/AM57</f>
        <v>17540.649471830984</v>
      </c>
      <c r="AN62" s="25">
        <f t="shared" si="128"/>
        <v>14531.290316901408</v>
      </c>
      <c r="AO62" s="25">
        <f t="shared" si="128"/>
        <v>44474.413908450704</v>
      </c>
      <c r="AP62" s="25">
        <f t="shared" si="128"/>
        <v>22000.949647887322</v>
      </c>
      <c r="AQ62" s="25">
        <f t="shared" si="128"/>
        <v>-4502.320422535211</v>
      </c>
      <c r="AR62" s="25">
        <f t="shared" si="128"/>
        <v>1924.2249999999999</v>
      </c>
      <c r="AS62" s="25">
        <f t="shared" si="128"/>
        <v>24075.257922535213</v>
      </c>
      <c r="AT62" s="25">
        <f t="shared" si="128"/>
        <v>24193.482746478872</v>
      </c>
      <c r="AU62" s="25">
        <f t="shared" si="128"/>
        <v>20259.820422535213</v>
      </c>
      <c r="AV62" s="25">
        <f t="shared" si="128"/>
        <v>387.30228873239435</v>
      </c>
      <c r="AW62" s="25">
        <f t="shared" si="128"/>
        <v>14714.001408450704</v>
      </c>
    </row>
    <row r="63" spans="6:49" ht="15.6" x14ac:dyDescent="0.3">
      <c r="F63" s="26" t="s">
        <v>56</v>
      </c>
      <c r="G63" s="24"/>
      <c r="H63" s="24" t="s">
        <v>55</v>
      </c>
      <c r="I63" s="27">
        <f>J37</f>
        <v>0</v>
      </c>
      <c r="J63" s="27">
        <f>J37</f>
        <v>0</v>
      </c>
      <c r="K63" s="27">
        <f t="shared" ref="K63:U63" si="129">K37</f>
        <v>0</v>
      </c>
      <c r="L63" s="27">
        <f t="shared" si="129"/>
        <v>0</v>
      </c>
      <c r="M63" s="27">
        <f t="shared" si="129"/>
        <v>0</v>
      </c>
      <c r="N63" s="27">
        <f t="shared" si="129"/>
        <v>0</v>
      </c>
      <c r="O63" s="27">
        <f t="shared" si="129"/>
        <v>0</v>
      </c>
      <c r="P63" s="27">
        <f t="shared" si="129"/>
        <v>0</v>
      </c>
      <c r="Q63" s="27">
        <f t="shared" si="129"/>
        <v>0</v>
      </c>
      <c r="R63" s="27">
        <f t="shared" si="129"/>
        <v>0</v>
      </c>
      <c r="S63" s="27">
        <f t="shared" si="129"/>
        <v>0</v>
      </c>
      <c r="T63" s="27">
        <f t="shared" si="129"/>
        <v>0</v>
      </c>
      <c r="U63" s="27">
        <f t="shared" si="129"/>
        <v>0</v>
      </c>
      <c r="X63" s="27">
        <f>X37</f>
        <v>0</v>
      </c>
      <c r="Y63" s="27">
        <f t="shared" ref="Y63:AI63" si="130">Y37</f>
        <v>0</v>
      </c>
      <c r="Z63" s="27">
        <f t="shared" si="130"/>
        <v>0</v>
      </c>
      <c r="AA63" s="27">
        <f t="shared" si="130"/>
        <v>0</v>
      </c>
      <c r="AB63" s="27">
        <f t="shared" si="130"/>
        <v>0</v>
      </c>
      <c r="AC63" s="27">
        <f t="shared" si="130"/>
        <v>0</v>
      </c>
      <c r="AD63" s="27">
        <f t="shared" si="130"/>
        <v>0</v>
      </c>
      <c r="AE63" s="27">
        <f t="shared" si="130"/>
        <v>0</v>
      </c>
      <c r="AF63" s="27">
        <f t="shared" si="130"/>
        <v>0</v>
      </c>
      <c r="AG63" s="27">
        <f t="shared" si="130"/>
        <v>0</v>
      </c>
      <c r="AH63" s="27">
        <f t="shared" si="130"/>
        <v>0</v>
      </c>
      <c r="AI63" s="27">
        <f t="shared" si="130"/>
        <v>0</v>
      </c>
      <c r="AL63" s="27">
        <f>AL37</f>
        <v>0</v>
      </c>
      <c r="AM63" s="27">
        <f t="shared" ref="AM63:AW63" si="131">AM37</f>
        <v>0</v>
      </c>
      <c r="AN63" s="27">
        <f t="shared" si="131"/>
        <v>0</v>
      </c>
      <c r="AO63" s="27">
        <f t="shared" si="131"/>
        <v>0</v>
      </c>
      <c r="AP63" s="27">
        <f t="shared" si="131"/>
        <v>0</v>
      </c>
      <c r="AQ63" s="27">
        <f t="shared" si="131"/>
        <v>0</v>
      </c>
      <c r="AR63" s="27">
        <f t="shared" si="131"/>
        <v>0</v>
      </c>
      <c r="AS63" s="27">
        <f t="shared" si="131"/>
        <v>0</v>
      </c>
      <c r="AT63" s="27">
        <f t="shared" si="131"/>
        <v>0</v>
      </c>
      <c r="AU63" s="27">
        <f t="shared" si="131"/>
        <v>0</v>
      </c>
      <c r="AV63" s="27">
        <f t="shared" si="131"/>
        <v>0</v>
      </c>
      <c r="AW63" s="27">
        <f t="shared" si="131"/>
        <v>0</v>
      </c>
    </row>
    <row r="64" spans="6:49" ht="15.6" x14ac:dyDescent="0.3">
      <c r="F64" s="26" t="s">
        <v>57</v>
      </c>
      <c r="G64" s="24"/>
      <c r="H64" s="24" t="s">
        <v>55</v>
      </c>
      <c r="I64" s="27">
        <f>-I65</f>
        <v>-61000</v>
      </c>
      <c r="J64" s="27">
        <f>-J65+I65</f>
        <v>60192.685040890501</v>
      </c>
      <c r="K64" s="27">
        <f t="shared" ref="K64:L64" si="132">-K65+J65</f>
        <v>-4490.0338437074024</v>
      </c>
      <c r="L64" s="27">
        <f t="shared" si="132"/>
        <v>1268.4733144025377</v>
      </c>
      <c r="M64" s="27">
        <f t="shared" ref="M64" si="133">-M65+L65</f>
        <v>-13237.407205247611</v>
      </c>
      <c r="N64" s="27">
        <f t="shared" ref="N64" si="134">-N65+M65</f>
        <v>9436.6848176965141</v>
      </c>
      <c r="O64" s="27">
        <f t="shared" ref="O64" si="135">-O65+N65</f>
        <v>8747.3955872330625</v>
      </c>
      <c r="P64" s="27">
        <f t="shared" ref="P64" si="136">-P65+O65</f>
        <v>-4941.4486418511078</v>
      </c>
      <c r="Q64" s="27">
        <f t="shared" ref="Q64" si="137">-Q65+P65</f>
        <v>-10175.568600311555</v>
      </c>
      <c r="R64" s="27">
        <f t="shared" ref="R64" si="138">-R65+Q65</f>
        <v>-3400.2277930486016</v>
      </c>
      <c r="S64" s="27">
        <f t="shared" ref="S64" si="139">-S65+R65</f>
        <v>-178.37650613356527</v>
      </c>
      <c r="T64" s="27">
        <f t="shared" ref="T64" si="140">-T65+S65</f>
        <v>7894.1587948659653</v>
      </c>
      <c r="U64" s="27">
        <f t="shared" ref="U64" si="141">-U65+T65</f>
        <v>-9433.3336017719266</v>
      </c>
      <c r="X64" s="27">
        <f>-X65+U65</f>
        <v>22838.649840981365</v>
      </c>
      <c r="Y64" s="27">
        <f>-Y65+X65</f>
        <v>-23145.401556110839</v>
      </c>
      <c r="Z64" s="27">
        <f>-Z65+Y65</f>
        <v>2462.3426965015533</v>
      </c>
      <c r="AA64" s="27">
        <f>-AA65+Z65</f>
        <v>-19380.489879600165</v>
      </c>
      <c r="AB64" s="27">
        <f t="shared" ref="AB64" si="142">-AB65+AA65</f>
        <v>14839.860052248987</v>
      </c>
      <c r="AC64" s="27">
        <f t="shared" ref="AC64" si="143">-AC65+AB65</f>
        <v>15973.870399818254</v>
      </c>
      <c r="AD64" s="27">
        <f>-AD65+AC65</f>
        <v>-4787.3316593106938</v>
      </c>
      <c r="AE64" s="27">
        <f t="shared" ref="AE64" si="144">-AE65+AD65</f>
        <v>-12447.461843642508</v>
      </c>
      <c r="AF64" s="27">
        <f t="shared" ref="AF64" si="145">-AF65+AE65</f>
        <v>-839.69363925486687</v>
      </c>
      <c r="AG64" s="27">
        <f t="shared" ref="AG64" si="146">-AG65+AF65</f>
        <v>3159.0081553838972</v>
      </c>
      <c r="AH64" s="27">
        <f t="shared" ref="AH64" si="147">-AH65+AG65</f>
        <v>11794.581633348491</v>
      </c>
      <c r="AI64" s="27">
        <f t="shared" ref="AI64" si="148">-AI65+AH65</f>
        <v>-8423.4089845524795</v>
      </c>
      <c r="AL64" s="27">
        <f>-AL65+AI65</f>
        <v>5846.6919582008268</v>
      </c>
      <c r="AM64" s="27">
        <f t="shared" ref="AM64" si="149">-AM65+AL65</f>
        <v>-3357.4614947751106</v>
      </c>
      <c r="AN64" s="27">
        <f t="shared" ref="AN64" si="150">-AN65+AM65</f>
        <v>2139.8956156292552</v>
      </c>
      <c r="AO64" s="27">
        <f t="shared" ref="AO64" si="151">-AO65+AN65</f>
        <v>-17520.029418446153</v>
      </c>
      <c r="AP64" s="27">
        <f t="shared" ref="AP64" si="152">-AP65+AO65</f>
        <v>13392.184120854145</v>
      </c>
      <c r="AQ64" s="27">
        <f t="shared" ref="AQ64" si="153">-AQ65+AP65</f>
        <v>14521.700363471151</v>
      </c>
      <c r="AR64" s="27">
        <f t="shared" ref="AR64" si="154">-AR65+AQ65</f>
        <v>-4035.1983676250966</v>
      </c>
      <c r="AS64" s="27">
        <f t="shared" ref="AS64" si="155">-AS65+AR65</f>
        <v>-11632.795725968703</v>
      </c>
      <c r="AT64" s="27">
        <f t="shared" ref="AT64" si="156">-AT65+AS65</f>
        <v>-664.76010904135182</v>
      </c>
      <c r="AU64" s="27">
        <f t="shared" ref="AU64" si="157">-AU65+AT65</f>
        <v>2773.2278509768366</v>
      </c>
      <c r="AV64" s="27">
        <f t="shared" ref="AV64" si="158">-AV65+AU65</f>
        <v>10820.944684234426</v>
      </c>
      <c r="AW64" s="27">
        <f t="shared" ref="AW64" si="159">-AW65+AV65</f>
        <v>-7756.2422762380957</v>
      </c>
    </row>
    <row r="65" spans="6:49" ht="15.6" x14ac:dyDescent="0.3">
      <c r="F65" s="28" t="s">
        <v>58</v>
      </c>
      <c r="G65" s="29"/>
      <c r="H65" s="29" t="s">
        <v>55</v>
      </c>
      <c r="I65" s="32">
        <f>(I66+I67)-I68</f>
        <v>61000</v>
      </c>
      <c r="J65" s="30">
        <f>(J66+J67)-J68</f>
        <v>807.31495910949889</v>
      </c>
      <c r="K65" s="30">
        <f t="shared" ref="K65:U65" si="160">K66+K67-K68</f>
        <v>5297.3488028169013</v>
      </c>
      <c r="L65" s="30">
        <f t="shared" si="160"/>
        <v>4028.8754884143636</v>
      </c>
      <c r="M65" s="30">
        <f t="shared" si="160"/>
        <v>17266.282693661975</v>
      </c>
      <c r="N65" s="30">
        <f t="shared" si="160"/>
        <v>7829.5978759654608</v>
      </c>
      <c r="O65" s="30">
        <f t="shared" si="160"/>
        <v>-917.7977112676017</v>
      </c>
      <c r="P65" s="30">
        <f t="shared" si="160"/>
        <v>4023.6509305835061</v>
      </c>
      <c r="Q65" s="30">
        <f t="shared" si="160"/>
        <v>14199.219530895061</v>
      </c>
      <c r="R65" s="30">
        <f t="shared" si="160"/>
        <v>17599.447323943663</v>
      </c>
      <c r="S65" s="30">
        <f t="shared" si="160"/>
        <v>17777.823830077228</v>
      </c>
      <c r="T65" s="30">
        <f t="shared" si="160"/>
        <v>9883.6650352112629</v>
      </c>
      <c r="U65" s="30">
        <f>U66+U67-U68</f>
        <v>19316.998636983189</v>
      </c>
      <c r="X65" s="30">
        <f>(X66+X67)-X68</f>
        <v>-3521.6512039981753</v>
      </c>
      <c r="Y65" s="30">
        <f>Y66+Y67-Y68</f>
        <v>19623.750352112664</v>
      </c>
      <c r="Z65" s="30">
        <f t="shared" ref="Y65:AI65" si="161">Z66+Z67-Z68</f>
        <v>17161.40765561111</v>
      </c>
      <c r="AA65" s="30">
        <f t="shared" si="161"/>
        <v>36541.897535211276</v>
      </c>
      <c r="AB65" s="30">
        <f t="shared" si="161"/>
        <v>21702.037482962289</v>
      </c>
      <c r="AC65" s="30">
        <f t="shared" si="161"/>
        <v>5728.1670831440351</v>
      </c>
      <c r="AD65" s="30">
        <f t="shared" si="161"/>
        <v>10515.498742454729</v>
      </c>
      <c r="AE65" s="30">
        <f t="shared" si="161"/>
        <v>22962.960586097237</v>
      </c>
      <c r="AF65" s="30">
        <f t="shared" si="161"/>
        <v>23802.654225352104</v>
      </c>
      <c r="AG65" s="30">
        <f t="shared" si="161"/>
        <v>20643.646069968207</v>
      </c>
      <c r="AH65" s="30">
        <f t="shared" si="161"/>
        <v>8849.0644366197157</v>
      </c>
      <c r="AI65" s="30">
        <f t="shared" si="161"/>
        <v>17272.473421172195</v>
      </c>
      <c r="AL65" s="30">
        <f>(AL66+AL67)-AL68</f>
        <v>11425.781462971368</v>
      </c>
      <c r="AM65" s="30">
        <f t="shared" ref="AM65:AW65" si="162">AM66+AM67-AM68</f>
        <v>14783.242957746479</v>
      </c>
      <c r="AN65" s="30">
        <f t="shared" si="162"/>
        <v>12643.347342117224</v>
      </c>
      <c r="AO65" s="30">
        <f t="shared" si="162"/>
        <v>30163.376760563377</v>
      </c>
      <c r="AP65" s="30">
        <f t="shared" si="162"/>
        <v>16771.192639709232</v>
      </c>
      <c r="AQ65" s="30">
        <f t="shared" si="162"/>
        <v>2249.4922762380811</v>
      </c>
      <c r="AR65" s="30">
        <f t="shared" si="162"/>
        <v>6284.6906438631777</v>
      </c>
      <c r="AS65" s="30">
        <f t="shared" si="162"/>
        <v>17917.48636983188</v>
      </c>
      <c r="AT65" s="30">
        <f t="shared" si="162"/>
        <v>18582.246478873232</v>
      </c>
      <c r="AU65" s="30">
        <f t="shared" si="162"/>
        <v>15809.018627896396</v>
      </c>
      <c r="AV65" s="30">
        <f t="shared" si="162"/>
        <v>4988.0739436619697</v>
      </c>
      <c r="AW65" s="30">
        <f t="shared" si="162"/>
        <v>12744.316219900065</v>
      </c>
    </row>
    <row r="66" spans="6:49" ht="15.6" x14ac:dyDescent="0.3">
      <c r="F66" s="31">
        <v>4</v>
      </c>
      <c r="G66" s="29" t="s">
        <v>59</v>
      </c>
      <c r="H66" s="29" t="s">
        <v>60</v>
      </c>
      <c r="I66" s="135">
        <v>61000</v>
      </c>
      <c r="J66" s="32">
        <f>((J5/J60)*$F$66)/J57</f>
        <v>12818.13857337574</v>
      </c>
      <c r="K66" s="32">
        <f>((K5/K60)*$F$66)/K57</f>
        <v>15396.312676056337</v>
      </c>
      <c r="L66" s="32">
        <f>((L5/L60)*$F$66)/L57</f>
        <v>14370.697864606998</v>
      </c>
      <c r="M66" s="32">
        <f t="shared" ref="M66:U66" si="163">((M5/M60)*$F$66)/M57</f>
        <v>21978.999295774651</v>
      </c>
      <c r="N66" s="32">
        <f t="shared" si="163"/>
        <v>16990.621990004543</v>
      </c>
      <c r="O66" s="32">
        <f t="shared" si="163"/>
        <v>11986.758973194006</v>
      </c>
      <c r="P66" s="32">
        <f t="shared" si="163"/>
        <v>15699.866197183099</v>
      </c>
      <c r="Q66" s="32">
        <f t="shared" si="163"/>
        <v>20060.319173103137</v>
      </c>
      <c r="R66" s="32">
        <f t="shared" si="163"/>
        <v>22139.560563380284</v>
      </c>
      <c r="S66" s="32">
        <f t="shared" si="163"/>
        <v>21784.94775102226</v>
      </c>
      <c r="T66" s="32">
        <f t="shared" si="163"/>
        <v>18421.111267605633</v>
      </c>
      <c r="U66" s="32">
        <f t="shared" si="163"/>
        <v>24004.688777828265</v>
      </c>
      <c r="X66" s="32">
        <f>((X5/X60)*$F$66)/X57</f>
        <v>13983.423898228082</v>
      </c>
      <c r="Y66" s="32">
        <f>((Y5/Y60)*$F$66)/Y57</f>
        <v>25660.521126760563</v>
      </c>
      <c r="Z66" s="32">
        <f>((Z5/Z60)*$F$66)/Z57</f>
        <v>23951.163107678331</v>
      </c>
      <c r="AA66" s="32">
        <f t="shared" ref="AA66:AI66" si="164">((AA5/AA60)*$F$66)/AA57</f>
        <v>33813.84507042254</v>
      </c>
      <c r="AB66" s="32">
        <f t="shared" si="164"/>
        <v>26139.418446160838</v>
      </c>
      <c r="AC66" s="32">
        <f t="shared" si="164"/>
        <v>18441.167651067699</v>
      </c>
      <c r="AD66" s="32">
        <f t="shared" si="164"/>
        <v>22428.380281690144</v>
      </c>
      <c r="AE66" s="32">
        <f t="shared" si="164"/>
        <v>26747.092230804181</v>
      </c>
      <c r="AF66" s="32">
        <f t="shared" si="164"/>
        <v>27674.450704225354</v>
      </c>
      <c r="AG66" s="32">
        <f t="shared" si="164"/>
        <v>25629.35029532031</v>
      </c>
      <c r="AH66" s="32">
        <f t="shared" si="164"/>
        <v>20467.901408450703</v>
      </c>
      <c r="AI66" s="32">
        <f t="shared" si="164"/>
        <v>24004.688777828265</v>
      </c>
      <c r="AL66" s="32">
        <f>((AL5/AL60)*$F$66)/AL57</f>
        <v>21187.005906406179</v>
      </c>
      <c r="AM66" s="32">
        <f>((AM5/AM60)*$F$66)/AM57</f>
        <v>23327.74647887324</v>
      </c>
      <c r="AN66" s="32">
        <f>((AN5/AN60)*$F$66)/AN57</f>
        <v>21773.784643343937</v>
      </c>
      <c r="AO66" s="32">
        <f t="shared" ref="AO66:AW66" si="165">((AO5/AO60)*$F$66)/AO57</f>
        <v>30739.859154929578</v>
      </c>
      <c r="AP66" s="32">
        <f t="shared" si="165"/>
        <v>23763.107678328033</v>
      </c>
      <c r="AQ66" s="32">
        <f t="shared" si="165"/>
        <v>16764.697864606998</v>
      </c>
      <c r="AR66" s="32">
        <f t="shared" si="165"/>
        <v>20389.436619718308</v>
      </c>
      <c r="AS66" s="32">
        <f t="shared" si="165"/>
        <v>24315.538391640162</v>
      </c>
      <c r="AT66" s="32">
        <f t="shared" si="165"/>
        <v>25158.591549295776</v>
      </c>
      <c r="AU66" s="32">
        <f t="shared" si="165"/>
        <v>23299.409359382098</v>
      </c>
      <c r="AV66" s="32">
        <f t="shared" si="165"/>
        <v>18607.183098591548</v>
      </c>
      <c r="AW66" s="32">
        <f t="shared" si="165"/>
        <v>21822.444343480238</v>
      </c>
    </row>
    <row r="67" spans="6:49" ht="15.6" x14ac:dyDescent="0.3">
      <c r="F67" s="31">
        <v>10</v>
      </c>
      <c r="G67" s="29" t="s">
        <v>61</v>
      </c>
      <c r="H67" s="29" t="s">
        <v>60</v>
      </c>
      <c r="I67" s="29">
        <v>0</v>
      </c>
      <c r="J67" s="32">
        <f>((J5/J60)*$F$67)/J57</f>
        <v>32045.346433439354</v>
      </c>
      <c r="K67" s="32">
        <f>((K5/K60)*$F$67)/K57</f>
        <v>38490.781690140844</v>
      </c>
      <c r="L67" s="32">
        <f>((L5/L60)*$F$67)/L57</f>
        <v>35926.744661517492</v>
      </c>
      <c r="M67" s="32">
        <f t="shared" ref="M67:U67" si="166">((M5/M60)*$F$67)/M57</f>
        <v>54947.498239436631</v>
      </c>
      <c r="N67" s="32">
        <f t="shared" si="166"/>
        <v>42476.554975011357</v>
      </c>
      <c r="O67" s="32">
        <f t="shared" si="166"/>
        <v>29966.897432985013</v>
      </c>
      <c r="P67" s="32">
        <f t="shared" si="166"/>
        <v>39249.665492957749</v>
      </c>
      <c r="Q67" s="32">
        <f t="shared" si="166"/>
        <v>50150.797932757836</v>
      </c>
      <c r="R67" s="32">
        <f t="shared" si="166"/>
        <v>55348.901408450714</v>
      </c>
      <c r="S67" s="32">
        <f t="shared" si="166"/>
        <v>54462.369377555653</v>
      </c>
      <c r="T67" s="32">
        <f t="shared" si="166"/>
        <v>46052.778169014084</v>
      </c>
      <c r="U67" s="32">
        <f t="shared" si="166"/>
        <v>60011.721944570658</v>
      </c>
      <c r="X67" s="32">
        <f>((X5/X60)*$F$67)/X57</f>
        <v>34958.559745570201</v>
      </c>
      <c r="Y67" s="32">
        <f>((Y5/Y60)*$F$67)/Y57</f>
        <v>64151.302816901407</v>
      </c>
      <c r="Z67" s="32">
        <f>((Z5/Z60)*$F$67)/Z57</f>
        <v>59877.90776919583</v>
      </c>
      <c r="AA67" s="32">
        <f t="shared" ref="AA67:AI67" si="167">((AA5/AA60)*$F$67)/AA57</f>
        <v>84534.612676056349</v>
      </c>
      <c r="AB67" s="32">
        <f t="shared" si="167"/>
        <v>65348.546115402089</v>
      </c>
      <c r="AC67" s="32">
        <f t="shared" si="167"/>
        <v>46102.919127669251</v>
      </c>
      <c r="AD67" s="32">
        <f t="shared" si="167"/>
        <v>56070.950704225361</v>
      </c>
      <c r="AE67" s="32">
        <f t="shared" si="167"/>
        <v>66867.730577010458</v>
      </c>
      <c r="AF67" s="32">
        <f t="shared" si="167"/>
        <v>69186.126760563377</v>
      </c>
      <c r="AG67" s="32">
        <f t="shared" si="167"/>
        <v>64073.375738300783</v>
      </c>
      <c r="AH67" s="32">
        <f t="shared" si="167"/>
        <v>51169.75352112676</v>
      </c>
      <c r="AI67" s="32">
        <f t="shared" si="167"/>
        <v>60011.721944570658</v>
      </c>
      <c r="AL67" s="32">
        <f>((AL5/AL60)*$F$67)/AL57</f>
        <v>52967.514766015447</v>
      </c>
      <c r="AM67" s="32">
        <f>((AM5/AM60)*$F$67)/AM57</f>
        <v>58319.366197183095</v>
      </c>
      <c r="AN67" s="32">
        <f>((AN5/AN60)*$F$67)/AN57</f>
        <v>54434.461608359838</v>
      </c>
      <c r="AO67" s="32">
        <f t="shared" ref="AO67:AW67" si="168">((AO5/AO60)*$F$67)/AO57</f>
        <v>76849.647887323939</v>
      </c>
      <c r="AP67" s="32">
        <f t="shared" si="168"/>
        <v>59407.769195820088</v>
      </c>
      <c r="AQ67" s="32">
        <f t="shared" si="168"/>
        <v>41911.744661517492</v>
      </c>
      <c r="AR67" s="32">
        <f t="shared" si="168"/>
        <v>50973.591549295772</v>
      </c>
      <c r="AS67" s="32">
        <f t="shared" si="168"/>
        <v>60788.845979100406</v>
      </c>
      <c r="AT67" s="32">
        <f t="shared" si="168"/>
        <v>62896.478873239437</v>
      </c>
      <c r="AU67" s="32">
        <f t="shared" si="168"/>
        <v>58248.52339845524</v>
      </c>
      <c r="AV67" s="32">
        <f t="shared" si="168"/>
        <v>46517.957746478874</v>
      </c>
      <c r="AW67" s="32">
        <f t="shared" si="168"/>
        <v>54556.110858700595</v>
      </c>
    </row>
    <row r="68" spans="6:49" ht="15.6" x14ac:dyDescent="0.3">
      <c r="F68" s="31">
        <v>15</v>
      </c>
      <c r="G68" s="29" t="s">
        <v>62</v>
      </c>
      <c r="H68" s="29" t="s">
        <v>60</v>
      </c>
      <c r="I68" s="29"/>
      <c r="J68" s="32">
        <f>((J55/J60)*$F$68)/J57</f>
        <v>44056.170047705593</v>
      </c>
      <c r="K68" s="32">
        <f>((K55/K60)*$F$68)/K57</f>
        <v>48589.745563380282</v>
      </c>
      <c r="L68" s="32">
        <f t="shared" ref="L68:U68" si="169">((L55/L60)*$F$68)/L57</f>
        <v>46268.567037710127</v>
      </c>
      <c r="M68" s="32">
        <f t="shared" si="169"/>
        <v>59660.214841549307</v>
      </c>
      <c r="N68" s="32">
        <f t="shared" si="169"/>
        <v>51637.579089050436</v>
      </c>
      <c r="O68" s="32">
        <f t="shared" si="169"/>
        <v>42871.454117446621</v>
      </c>
      <c r="P68" s="32">
        <f t="shared" si="169"/>
        <v>50925.880759557345</v>
      </c>
      <c r="Q68" s="32">
        <f t="shared" si="169"/>
        <v>56011.897574965915</v>
      </c>
      <c r="R68" s="32">
        <f t="shared" si="169"/>
        <v>59889.014647887336</v>
      </c>
      <c r="S68" s="32">
        <f t="shared" si="169"/>
        <v>58469.493298500682</v>
      </c>
      <c r="T68" s="32">
        <f t="shared" si="169"/>
        <v>54590.224401408457</v>
      </c>
      <c r="U68" s="32">
        <f t="shared" si="169"/>
        <v>64699.412085415737</v>
      </c>
      <c r="X68" s="32">
        <f>((X55/X60)*$F$68)/X57</f>
        <v>52463.634847796457</v>
      </c>
      <c r="Y68" s="32">
        <f>((Y55/Y60)*$F$68)/Y57</f>
        <v>70188.073591549299</v>
      </c>
      <c r="Z68" s="32">
        <f t="shared" ref="Z68:AI68" si="170">((Z55/Z60)*$F$68)/Z57</f>
        <v>66667.66322126305</v>
      </c>
      <c r="AA68" s="32">
        <f t="shared" si="170"/>
        <v>81806.560211267613</v>
      </c>
      <c r="AB68" s="32">
        <f t="shared" si="170"/>
        <v>69785.927078600638</v>
      </c>
      <c r="AC68" s="32">
        <f t="shared" si="170"/>
        <v>58815.919695592915</v>
      </c>
      <c r="AD68" s="32">
        <f t="shared" si="170"/>
        <v>67983.832243460769</v>
      </c>
      <c r="AE68" s="32">
        <f t="shared" si="170"/>
        <v>70651.862221717398</v>
      </c>
      <c r="AF68" s="32">
        <f t="shared" si="170"/>
        <v>73057.923239436626</v>
      </c>
      <c r="AG68" s="32">
        <f t="shared" si="170"/>
        <v>69059.079963652883</v>
      </c>
      <c r="AH68" s="32">
        <f t="shared" si="170"/>
        <v>62788.590492957745</v>
      </c>
      <c r="AI68" s="32">
        <f t="shared" si="170"/>
        <v>66743.937301226732</v>
      </c>
      <c r="AL68" s="32">
        <f>((AL55/AL60)*$F$68)/AL57</f>
        <v>62728.739209450257</v>
      </c>
      <c r="AM68" s="32">
        <f>((AM55/AM60)*$F$68)/AM57</f>
        <v>66863.869718309856</v>
      </c>
      <c r="AN68" s="32">
        <f t="shared" ref="AN68:AW68" si="171">((AN55/AN60)*$F$68)/AN57</f>
        <v>63564.898909586555</v>
      </c>
      <c r="AO68" s="32">
        <f t="shared" si="171"/>
        <v>77426.130281690144</v>
      </c>
      <c r="AP68" s="32">
        <f t="shared" si="171"/>
        <v>66399.684234438886</v>
      </c>
      <c r="AQ68" s="32">
        <f t="shared" si="171"/>
        <v>56426.950249886409</v>
      </c>
      <c r="AR68" s="32">
        <f t="shared" si="171"/>
        <v>65078.337525150906</v>
      </c>
      <c r="AS68" s="32">
        <f t="shared" si="171"/>
        <v>67186.898000908681</v>
      </c>
      <c r="AT68" s="32">
        <f t="shared" si="171"/>
        <v>69472.823943661977</v>
      </c>
      <c r="AU68" s="32">
        <f t="shared" si="171"/>
        <v>65738.914129940938</v>
      </c>
      <c r="AV68" s="32">
        <f t="shared" si="171"/>
        <v>60137.066901408449</v>
      </c>
      <c r="AW68" s="32">
        <f t="shared" si="171"/>
        <v>63634.238982280775</v>
      </c>
    </row>
    <row r="69" spans="6:49" ht="15.6" x14ac:dyDescent="0.3">
      <c r="F69" s="26" t="s">
        <v>63</v>
      </c>
      <c r="G69" s="24"/>
      <c r="H69" s="29" t="s">
        <v>55</v>
      </c>
      <c r="I69" s="27">
        <v>-370000</v>
      </c>
      <c r="J69" s="24"/>
      <c r="K69" s="24"/>
      <c r="L69" s="24"/>
      <c r="X69" s="27"/>
      <c r="Y69" s="27"/>
      <c r="Z69" s="27"/>
      <c r="AL69" s="24"/>
      <c r="AM69" s="24"/>
      <c r="AN69" s="24"/>
    </row>
    <row r="70" spans="6:49" ht="15.6" x14ac:dyDescent="0.3">
      <c r="F70" s="26" t="s">
        <v>64</v>
      </c>
      <c r="G70" s="24"/>
      <c r="H70" s="29"/>
      <c r="I70" s="27"/>
      <c r="J70" s="24"/>
      <c r="K70" s="24"/>
      <c r="L70" s="24"/>
      <c r="X70" s="24"/>
      <c r="Y70" s="24"/>
      <c r="Z70" s="24"/>
      <c r="AL70" s="24"/>
      <c r="AM70" s="24"/>
      <c r="AN70" s="24"/>
    </row>
    <row r="71" spans="6:49" ht="15.6" x14ac:dyDescent="0.3">
      <c r="F71" s="26"/>
      <c r="G71" s="42" t="s">
        <v>71</v>
      </c>
      <c r="H71" s="29"/>
      <c r="I71" s="27"/>
      <c r="J71" s="27">
        <f>-J30/J57</f>
        <v>-2359.1549295774648</v>
      </c>
      <c r="K71" s="27">
        <f t="shared" ref="K71:U71" si="172">-K30/K57</f>
        <v>-2359.1549295774648</v>
      </c>
      <c r="L71" s="27">
        <f t="shared" si="172"/>
        <v>-2359.1549295774648</v>
      </c>
      <c r="M71" s="27">
        <f t="shared" si="172"/>
        <v>-2640.8450704225352</v>
      </c>
      <c r="N71" s="27">
        <f t="shared" si="172"/>
        <v>-2640.8450704225352</v>
      </c>
      <c r="O71" s="27">
        <f t="shared" si="172"/>
        <v>-2359.1549295774648</v>
      </c>
      <c r="P71" s="27">
        <f t="shared" si="172"/>
        <v>-2359.1549295774648</v>
      </c>
      <c r="Q71" s="27">
        <f t="shared" si="172"/>
        <v>-2640.8450704225352</v>
      </c>
      <c r="R71" s="27">
        <f t="shared" si="172"/>
        <v>-2640.8450704225352</v>
      </c>
      <c r="S71" s="27">
        <f t="shared" si="172"/>
        <v>-2640.8450704225352</v>
      </c>
      <c r="T71" s="27">
        <f t="shared" si="172"/>
        <v>-2640.8450704225352</v>
      </c>
      <c r="U71" s="27">
        <f t="shared" si="172"/>
        <v>-3169.0140845070423</v>
      </c>
      <c r="X71" s="27">
        <f>-X30/X57</f>
        <v>-3521.1267605633802</v>
      </c>
      <c r="Y71" s="27">
        <f t="shared" ref="Y71:AI71" si="173">-Y30/Y57</f>
        <v>-3521.1267605633802</v>
      </c>
      <c r="Z71" s="27">
        <f t="shared" si="173"/>
        <v>-3521.1267605633802</v>
      </c>
      <c r="AA71" s="27">
        <f t="shared" si="173"/>
        <v>-3521.1267605633802</v>
      </c>
      <c r="AB71" s="27">
        <f t="shared" si="173"/>
        <v>-3521.1267605633802</v>
      </c>
      <c r="AC71" s="27">
        <f t="shared" si="173"/>
        <v>-3521.1267605633802</v>
      </c>
      <c r="AD71" s="27">
        <f t="shared" si="173"/>
        <v>-3521.1267605633802</v>
      </c>
      <c r="AE71" s="27">
        <f t="shared" si="173"/>
        <v>-3521.1267605633802</v>
      </c>
      <c r="AF71" s="27">
        <f t="shared" si="173"/>
        <v>-3521.1267605633802</v>
      </c>
      <c r="AG71" s="27">
        <f t="shared" si="173"/>
        <v>-3521.1267605633802</v>
      </c>
      <c r="AH71" s="27">
        <f t="shared" si="173"/>
        <v>-3521.1267605633802</v>
      </c>
      <c r="AI71" s="27">
        <f t="shared" si="173"/>
        <v>-3521.1267605633802</v>
      </c>
      <c r="AL71" s="27">
        <f>-AL30/AL57</f>
        <v>-3521.1267605633802</v>
      </c>
      <c r="AM71" s="27">
        <f t="shared" ref="AM71:AW71" si="174">-AM30/AM57</f>
        <v>-3521.1267605633802</v>
      </c>
      <c r="AN71" s="27">
        <f t="shared" si="174"/>
        <v>-3521.1267605633802</v>
      </c>
      <c r="AO71" s="27">
        <f t="shared" si="174"/>
        <v>-3521.1267605633802</v>
      </c>
      <c r="AP71" s="27">
        <f t="shared" si="174"/>
        <v>-3521.1267605633802</v>
      </c>
      <c r="AQ71" s="27">
        <f t="shared" si="174"/>
        <v>-3521.1267605633802</v>
      </c>
      <c r="AR71" s="27">
        <f t="shared" si="174"/>
        <v>-3521.1267605633802</v>
      </c>
      <c r="AS71" s="27">
        <f t="shared" si="174"/>
        <v>-3521.1267605633802</v>
      </c>
      <c r="AT71" s="27">
        <f t="shared" si="174"/>
        <v>-3521.1267605633802</v>
      </c>
      <c r="AU71" s="27">
        <f t="shared" si="174"/>
        <v>-3521.1267605633802</v>
      </c>
      <c r="AV71" s="27">
        <f t="shared" si="174"/>
        <v>-3521.1267605633802</v>
      </c>
      <c r="AW71" s="27">
        <f t="shared" si="174"/>
        <v>-3521.1267605633802</v>
      </c>
    </row>
    <row r="72" spans="6:49" ht="15.6" x14ac:dyDescent="0.3">
      <c r="F72" s="26"/>
      <c r="G72" s="42" t="s">
        <v>72</v>
      </c>
      <c r="H72" s="29"/>
      <c r="I72" s="27"/>
      <c r="J72" s="27">
        <f>J42/J57</f>
        <v>0</v>
      </c>
      <c r="K72" s="27">
        <f t="shared" ref="K72:L72" si="175">K42/K57</f>
        <v>161.58705281690132</v>
      </c>
      <c r="L72" s="27">
        <f t="shared" si="175"/>
        <v>57.051419014084402</v>
      </c>
      <c r="M72" s="27">
        <f>-M42/M57</f>
        <v>-1237.4272772887323</v>
      </c>
      <c r="N72" s="27">
        <f t="shared" ref="N72:U72" si="176">-N42/N57</f>
        <v>-391.71533274647902</v>
      </c>
      <c r="O72" s="27">
        <f t="shared" si="176"/>
        <v>0</v>
      </c>
      <c r="P72" s="27">
        <f t="shared" si="176"/>
        <v>-19.468369718309965</v>
      </c>
      <c r="Q72" s="27">
        <f t="shared" si="176"/>
        <v>-998.36423855633802</v>
      </c>
      <c r="R72" s="27">
        <f t="shared" si="176"/>
        <v>-1268.1346197183107</v>
      </c>
      <c r="S72" s="27">
        <f t="shared" si="176"/>
        <v>-1339.1939612676056</v>
      </c>
      <c r="T72" s="27">
        <f t="shared" si="176"/>
        <v>-556.98119190140824</v>
      </c>
      <c r="U72" s="27">
        <f t="shared" si="176"/>
        <v>-1434.5604225352124</v>
      </c>
      <c r="X72" s="27">
        <f>X42/X57</f>
        <v>0</v>
      </c>
      <c r="Y72" s="27">
        <f t="shared" ref="Y72:Z72" si="177">Y42/Y57</f>
        <v>1369.3352288732394</v>
      </c>
      <c r="Z72" s="27">
        <f t="shared" si="177"/>
        <v>1195.1091725352114</v>
      </c>
      <c r="AA72" s="27">
        <f>-AA42/AA57</f>
        <v>-2928.6584330985925</v>
      </c>
      <c r="AB72" s="27">
        <f t="shared" ref="AB72:AI72" si="178">-AB42/AB57</f>
        <v>-1627.5631338028168</v>
      </c>
      <c r="AC72" s="27">
        <f t="shared" si="178"/>
        <v>-106.19632042253573</v>
      </c>
      <c r="AD72" s="27">
        <f t="shared" si="178"/>
        <v>-465.22644366197238</v>
      </c>
      <c r="AE72" s="27">
        <f t="shared" si="178"/>
        <v>-1747.6546654929577</v>
      </c>
      <c r="AF72" s="27">
        <f t="shared" si="178"/>
        <v>-1754.4992605633804</v>
      </c>
      <c r="AG72" s="27">
        <f t="shared" si="178"/>
        <v>-1526.7609154929578</v>
      </c>
      <c r="AH72" s="27">
        <f t="shared" si="178"/>
        <v>-376.24670774647893</v>
      </c>
      <c r="AI72" s="27">
        <f t="shared" si="178"/>
        <v>-1205.6871830985926</v>
      </c>
      <c r="AL72" s="27">
        <f>AL42/AL57</f>
        <v>648.8426056338028</v>
      </c>
      <c r="AM72" s="27">
        <f t="shared" ref="AM72:AN72" si="179">AM42/AM57</f>
        <v>923.19207746478878</v>
      </c>
      <c r="AN72" s="27">
        <f t="shared" si="179"/>
        <v>764.80475352112671</v>
      </c>
      <c r="AO72" s="27">
        <f>-AO42/AO57</f>
        <v>-2340.7586267605634</v>
      </c>
      <c r="AP72" s="27">
        <f t="shared" ref="AP72:AW72" si="180">-AP42/AP57</f>
        <v>-1157.9447183098591</v>
      </c>
      <c r="AQ72" s="27">
        <f t="shared" si="180"/>
        <v>0</v>
      </c>
      <c r="AR72" s="27">
        <f t="shared" si="180"/>
        <v>-101.27500000000001</v>
      </c>
      <c r="AS72" s="27">
        <f t="shared" si="180"/>
        <v>-1267.118838028169</v>
      </c>
      <c r="AT72" s="27">
        <f t="shared" si="180"/>
        <v>-1273.3411971830985</v>
      </c>
      <c r="AU72" s="27">
        <f t="shared" si="180"/>
        <v>-1066.306338028169</v>
      </c>
      <c r="AV72" s="27">
        <f t="shared" si="180"/>
        <v>-20.384330985915494</v>
      </c>
      <c r="AW72" s="27">
        <f t="shared" si="180"/>
        <v>-774.42112676056342</v>
      </c>
    </row>
    <row r="73" spans="6:49" ht="15.6" x14ac:dyDescent="0.3">
      <c r="F73" s="26"/>
      <c r="G73" s="41" t="s">
        <v>70</v>
      </c>
      <c r="H73" s="29" t="s">
        <v>55</v>
      </c>
      <c r="I73" s="24"/>
      <c r="J73" s="33">
        <f>-J50/J57</f>
        <v>-993.40573943662002</v>
      </c>
      <c r="K73" s="33">
        <f>-K50/K57</f>
        <v>-1154.7234507042253</v>
      </c>
      <c r="L73" s="33">
        <f>K73</f>
        <v>-1154.7234507042253</v>
      </c>
      <c r="M73" s="33">
        <f t="shared" ref="M73:U73" si="181">L73</f>
        <v>-1154.7234507042253</v>
      </c>
      <c r="N73" s="33">
        <f t="shared" si="181"/>
        <v>-1154.7234507042253</v>
      </c>
      <c r="O73" s="33">
        <f t="shared" si="181"/>
        <v>-1154.7234507042253</v>
      </c>
      <c r="P73" s="33">
        <f t="shared" si="181"/>
        <v>-1154.7234507042253</v>
      </c>
      <c r="Q73" s="33">
        <f t="shared" si="181"/>
        <v>-1154.7234507042253</v>
      </c>
      <c r="R73" s="33">
        <f t="shared" si="181"/>
        <v>-1154.7234507042253</v>
      </c>
      <c r="S73" s="33">
        <f t="shared" si="181"/>
        <v>-1154.7234507042253</v>
      </c>
      <c r="T73" s="33">
        <f t="shared" si="181"/>
        <v>-1154.7234507042253</v>
      </c>
      <c r="U73" s="33">
        <f t="shared" si="181"/>
        <v>-1154.7234507042253</v>
      </c>
      <c r="X73" s="33">
        <f>-X50/X57</f>
        <v>-1083.7153521126763</v>
      </c>
      <c r="Y73" s="33">
        <f>-Y50/Y57</f>
        <v>-1924.5390845070422</v>
      </c>
      <c r="Z73" s="33">
        <f>Y73</f>
        <v>-1924.5390845070422</v>
      </c>
      <c r="AA73" s="33">
        <f t="shared" ref="AA73" si="182">Z73</f>
        <v>-1924.5390845070422</v>
      </c>
      <c r="AB73" s="33">
        <f t="shared" ref="AB73" si="183">AA73</f>
        <v>-1924.5390845070422</v>
      </c>
      <c r="AC73" s="33">
        <f t="shared" ref="AC73" si="184">AB73</f>
        <v>-1924.5390845070422</v>
      </c>
      <c r="AD73" s="33">
        <f t="shared" ref="AD73" si="185">AC73</f>
        <v>-1924.5390845070422</v>
      </c>
      <c r="AE73" s="33">
        <f t="shared" ref="AE73" si="186">AD73</f>
        <v>-1924.5390845070422</v>
      </c>
      <c r="AF73" s="33">
        <f t="shared" ref="AF73" si="187">AE73</f>
        <v>-1924.5390845070422</v>
      </c>
      <c r="AG73" s="33">
        <f t="shared" ref="AG73" si="188">AF73</f>
        <v>-1924.5390845070422</v>
      </c>
      <c r="AH73" s="33">
        <f t="shared" ref="AH73" si="189">AG73</f>
        <v>-1924.5390845070422</v>
      </c>
      <c r="AI73" s="33">
        <f t="shared" ref="AI73" si="190">AH73</f>
        <v>-1924.5390845070422</v>
      </c>
      <c r="AL73" s="33">
        <f>-AL50/AL57</f>
        <v>-1641.9929577464789</v>
      </c>
      <c r="AM73" s="33">
        <f>-AM50/AM57</f>
        <v>-1749.5809859154929</v>
      </c>
      <c r="AN73" s="33">
        <f>AM73</f>
        <v>-1749.5809859154929</v>
      </c>
      <c r="AO73" s="33">
        <f t="shared" ref="AO73" si="191">AN73</f>
        <v>-1749.5809859154929</v>
      </c>
      <c r="AP73" s="33">
        <f t="shared" ref="AP73" si="192">AO73</f>
        <v>-1749.5809859154929</v>
      </c>
      <c r="AQ73" s="33">
        <f t="shared" ref="AQ73" si="193">AP73</f>
        <v>-1749.5809859154929</v>
      </c>
      <c r="AR73" s="33">
        <f t="shared" ref="AR73" si="194">AQ73</f>
        <v>-1749.5809859154929</v>
      </c>
      <c r="AS73" s="33">
        <f t="shared" ref="AS73" si="195">AR73</f>
        <v>-1749.5809859154929</v>
      </c>
      <c r="AT73" s="33">
        <f t="shared" ref="AT73" si="196">AS73</f>
        <v>-1749.5809859154929</v>
      </c>
      <c r="AU73" s="33">
        <f t="shared" ref="AU73" si="197">AT73</f>
        <v>-1749.5809859154929</v>
      </c>
      <c r="AV73" s="33">
        <f t="shared" ref="AV73" si="198">AU73</f>
        <v>-1749.5809859154929</v>
      </c>
      <c r="AW73" s="33">
        <f t="shared" ref="AW73" si="199">AV73</f>
        <v>-1749.5809859154929</v>
      </c>
    </row>
    <row r="74" spans="6:49" ht="15.6" x14ac:dyDescent="0.3">
      <c r="F74" s="34" t="s">
        <v>65</v>
      </c>
      <c r="G74" s="35"/>
      <c r="H74" s="35" t="s">
        <v>55</v>
      </c>
      <c r="I74" s="36">
        <f>I62+I63+I64+I69</f>
        <v>-431000</v>
      </c>
      <c r="J74" s="36">
        <f>J62+J63+J64+J69+J71+J72+J73</f>
        <v>51844.662153566562</v>
      </c>
      <c r="K74" s="36">
        <f t="shared" ref="K74:U74" si="200">K62+K63+K64+K69+K71+K72+K73</f>
        <v>-4772.1711676510668</v>
      </c>
      <c r="L74" s="36">
        <f t="shared" si="200"/>
        <v>-1104.3766855974645</v>
      </c>
      <c r="M74" s="36">
        <f t="shared" si="200"/>
        <v>5240.7152648228075</v>
      </c>
      <c r="N74" s="36">
        <f t="shared" si="200"/>
        <v>12691.992286006374</v>
      </c>
      <c r="O74" s="36">
        <f t="shared" si="200"/>
        <v>-3047.9728810767842</v>
      </c>
      <c r="P74" s="36">
        <f t="shared" si="200"/>
        <v>-8104.8963672032187</v>
      </c>
      <c r="Q74" s="36">
        <f t="shared" si="200"/>
        <v>3999.4191725757705</v>
      </c>
      <c r="R74" s="36">
        <f t="shared" si="200"/>
        <v>15630.626840754221</v>
      </c>
      <c r="S74" s="36">
        <f t="shared" si="200"/>
        <v>20131.546275556575</v>
      </c>
      <c r="T74" s="36">
        <f t="shared" si="200"/>
        <v>14124.251727964551</v>
      </c>
      <c r="U74" s="36">
        <f t="shared" si="200"/>
        <v>12065.016468650625</v>
      </c>
      <c r="X74" s="36">
        <f>X62+X63+X64+X69+X71+X72+X73</f>
        <v>2738.5019536574291</v>
      </c>
      <c r="Y74" s="36">
        <f t="shared" ref="Y74:AI74" si="201">Y62+Y63+Y64+Y69+Y71+Y72+Y73</f>
        <v>-1204.3628237164719</v>
      </c>
      <c r="Z74" s="36">
        <f t="shared" si="201"/>
        <v>20918.860302135359</v>
      </c>
      <c r="AA74" s="36">
        <f t="shared" si="201"/>
        <v>27889.696071104085</v>
      </c>
      <c r="AB74" s="36">
        <f t="shared" si="201"/>
        <v>38690.330615629275</v>
      </c>
      <c r="AC74" s="36">
        <f t="shared" si="201"/>
        <v>12439.738322353476</v>
      </c>
      <c r="AD74" s="36">
        <f t="shared" si="201"/>
        <v>-1858.9215184656146</v>
      </c>
      <c r="AE74" s="36">
        <f t="shared" si="201"/>
        <v>13564.656290160314</v>
      </c>
      <c r="AF74" s="36">
        <f t="shared" si="201"/>
        <v>25295.627205815548</v>
      </c>
      <c r="AG74" s="36">
        <f t="shared" si="201"/>
        <v>25195.038789186714</v>
      </c>
      <c r="AH74" s="36">
        <f t="shared" si="201"/>
        <v>13121.35652771469</v>
      </c>
      <c r="AI74" s="36">
        <f t="shared" si="201"/>
        <v>7833.294466151764</v>
      </c>
      <c r="AL74" s="36">
        <f>AL62+AL63+AL64+AL69+AL71+AL72+AL73</f>
        <v>13660.424352567024</v>
      </c>
      <c r="AM74" s="36">
        <f t="shared" ref="AM74:AW74" si="202">AM62+AM63+AM64+AM69+AM71+AM72+AM73</f>
        <v>9835.6723080417887</v>
      </c>
      <c r="AN74" s="36">
        <f t="shared" si="202"/>
        <v>12165.282939572919</v>
      </c>
      <c r="AO74" s="36">
        <f t="shared" si="202"/>
        <v>19342.918116765115</v>
      </c>
      <c r="AP74" s="36">
        <f t="shared" si="202"/>
        <v>28964.481303952729</v>
      </c>
      <c r="AQ74" s="36">
        <f t="shared" si="202"/>
        <v>4748.6721944570672</v>
      </c>
      <c r="AR74" s="36">
        <f t="shared" si="202"/>
        <v>-7482.9561141039685</v>
      </c>
      <c r="AS74" s="36">
        <f t="shared" si="202"/>
        <v>5904.6356120594683</v>
      </c>
      <c r="AT74" s="36">
        <f t="shared" si="202"/>
        <v>16984.673693775549</v>
      </c>
      <c r="AU74" s="36">
        <f t="shared" si="202"/>
        <v>16696.034189005008</v>
      </c>
      <c r="AV74" s="36">
        <f t="shared" si="202"/>
        <v>5917.1548955020316</v>
      </c>
      <c r="AW74" s="36">
        <f t="shared" si="202"/>
        <v>912.63025897317175</v>
      </c>
    </row>
    <row r="76" spans="6:49" x14ac:dyDescent="0.3">
      <c r="J76" s="37"/>
      <c r="X76" s="37"/>
      <c r="AL76" s="37"/>
    </row>
    <row r="77" spans="6:49" x14ac:dyDescent="0.3">
      <c r="F77" s="19" t="s">
        <v>69</v>
      </c>
      <c r="G77" s="19"/>
      <c r="H77" s="19"/>
      <c r="I77" s="19"/>
      <c r="J77" s="38">
        <v>0</v>
      </c>
      <c r="K77" s="38">
        <f>J82</f>
        <v>51844.662153566562</v>
      </c>
      <c r="L77" s="38">
        <f t="shared" ref="L77:U77" si="203">K82</f>
        <v>47072.490985915494</v>
      </c>
      <c r="M77" s="38">
        <f t="shared" si="203"/>
        <v>45968.114300318033</v>
      </c>
      <c r="N77" s="38">
        <f t="shared" si="203"/>
        <v>51208.829565140841</v>
      </c>
      <c r="O77" s="38">
        <f t="shared" si="203"/>
        <v>63900.821851147215</v>
      </c>
      <c r="P77" s="38">
        <f t="shared" si="203"/>
        <v>60852.84897007043</v>
      </c>
      <c r="Q77" s="38">
        <f t="shared" si="203"/>
        <v>52747.952602867212</v>
      </c>
      <c r="R77" s="38">
        <f t="shared" si="203"/>
        <v>56747.371775442982</v>
      </c>
      <c r="S77" s="38">
        <f t="shared" si="203"/>
        <v>72377.998616197205</v>
      </c>
      <c r="T77" s="38">
        <f t="shared" si="203"/>
        <v>92509.544891753787</v>
      </c>
      <c r="U77" s="38">
        <f t="shared" si="203"/>
        <v>106633.79661971834</v>
      </c>
      <c r="X77" s="38">
        <f>U82</f>
        <v>12065.016468650625</v>
      </c>
      <c r="Y77" s="38">
        <f>X82</f>
        <v>14803.518422308054</v>
      </c>
      <c r="Z77" s="38">
        <f t="shared" ref="Z77" si="204">Y82</f>
        <v>13599.155598591582</v>
      </c>
      <c r="AA77" s="38">
        <f t="shared" ref="AA77" si="205">Z82</f>
        <v>34518.015900726939</v>
      </c>
      <c r="AB77" s="38">
        <f t="shared" ref="AB77" si="206">AA82</f>
        <v>62407.711971831028</v>
      </c>
      <c r="AC77" s="38">
        <f t="shared" ref="AC77" si="207">AB82</f>
        <v>101098.04258746031</v>
      </c>
      <c r="AD77" s="38">
        <f t="shared" ref="AD77" si="208">AC82</f>
        <v>113537.78090981378</v>
      </c>
      <c r="AE77" s="38">
        <f t="shared" ref="AE77" si="209">AD82</f>
        <v>111678.85939134816</v>
      </c>
      <c r="AF77" s="38">
        <f t="shared" ref="AF77" si="210">AE82</f>
        <v>125243.51568150848</v>
      </c>
      <c r="AG77" s="38">
        <f t="shared" ref="AG77" si="211">AF82</f>
        <v>150539.14288732404</v>
      </c>
      <c r="AH77" s="38">
        <f t="shared" ref="AH77" si="212">AG82</f>
        <v>175734.18167651075</v>
      </c>
      <c r="AI77" s="38">
        <f t="shared" ref="AI77" si="213">AH82</f>
        <v>188855.53820422545</v>
      </c>
      <c r="AL77" s="38">
        <f>AI82</f>
        <v>7833.294466151764</v>
      </c>
      <c r="AM77" s="38">
        <f>AL82</f>
        <v>21493.718818718789</v>
      </c>
      <c r="AN77" s="38">
        <f t="shared" ref="AN77" si="214">AM82</f>
        <v>31329.39112676058</v>
      </c>
      <c r="AO77" s="38">
        <f t="shared" ref="AO77" si="215">AN82</f>
        <v>43494.6740663335</v>
      </c>
      <c r="AP77" s="38">
        <f t="shared" ref="AP77" si="216">AO82</f>
        <v>19342.918116765115</v>
      </c>
      <c r="AQ77" s="38">
        <f t="shared" ref="AQ77" si="217">AP82</f>
        <v>48307.399420717848</v>
      </c>
      <c r="AR77" s="38">
        <f t="shared" ref="AR77" si="218">AQ82</f>
        <v>53056.071615174915</v>
      </c>
      <c r="AS77" s="38">
        <f t="shared" ref="AS77" si="219">AR82</f>
        <v>45573.115501070948</v>
      </c>
      <c r="AT77" s="38">
        <f t="shared" ref="AT77" si="220">AS82</f>
        <v>5904.6356120594683</v>
      </c>
      <c r="AU77" s="38">
        <f t="shared" ref="AU77" si="221">AT82</f>
        <v>22889.309305835017</v>
      </c>
      <c r="AV77" s="38">
        <f t="shared" ref="AV77" si="222">AU82</f>
        <v>39585.343494840025</v>
      </c>
      <c r="AW77" s="38">
        <f t="shared" ref="AW77" si="223">AV82</f>
        <v>45502.498390342058</v>
      </c>
    </row>
    <row r="78" spans="6:49" x14ac:dyDescent="0.3">
      <c r="F78" t="s">
        <v>66</v>
      </c>
      <c r="J78" s="37">
        <f t="shared" ref="J78:U78" si="224">IF(J74&lt;0,J74,0)</f>
        <v>0</v>
      </c>
      <c r="K78" s="37">
        <f t="shared" si="224"/>
        <v>-4772.1711676510668</v>
      </c>
      <c r="L78" s="37">
        <f t="shared" si="224"/>
        <v>-1104.3766855974645</v>
      </c>
      <c r="M78" s="37">
        <f t="shared" si="224"/>
        <v>0</v>
      </c>
      <c r="N78" s="37">
        <f t="shared" si="224"/>
        <v>0</v>
      </c>
      <c r="O78" s="37">
        <f t="shared" si="224"/>
        <v>-3047.9728810767842</v>
      </c>
      <c r="P78" s="37">
        <f t="shared" si="224"/>
        <v>-8104.8963672032187</v>
      </c>
      <c r="Q78" s="37">
        <f t="shared" si="224"/>
        <v>0</v>
      </c>
      <c r="R78" s="37">
        <f t="shared" si="224"/>
        <v>0</v>
      </c>
      <c r="S78" s="37">
        <f t="shared" si="224"/>
        <v>0</v>
      </c>
      <c r="T78" s="37">
        <f t="shared" si="224"/>
        <v>0</v>
      </c>
      <c r="U78" s="37">
        <f t="shared" si="224"/>
        <v>0</v>
      </c>
      <c r="X78" s="37">
        <f t="shared" ref="X78:AI78" si="225">IF(X74&lt;0,X74,0)</f>
        <v>0</v>
      </c>
      <c r="Y78" s="37">
        <f t="shared" si="225"/>
        <v>-1204.3628237164719</v>
      </c>
      <c r="Z78" s="37">
        <f t="shared" si="225"/>
        <v>0</v>
      </c>
      <c r="AA78" s="37">
        <f t="shared" si="225"/>
        <v>0</v>
      </c>
      <c r="AB78" s="37">
        <f t="shared" si="225"/>
        <v>0</v>
      </c>
      <c r="AC78" s="37">
        <f t="shared" si="225"/>
        <v>0</v>
      </c>
      <c r="AD78" s="37">
        <f t="shared" si="225"/>
        <v>-1858.9215184656146</v>
      </c>
      <c r="AE78" s="37">
        <f t="shared" si="225"/>
        <v>0</v>
      </c>
      <c r="AF78" s="37">
        <f t="shared" si="225"/>
        <v>0</v>
      </c>
      <c r="AG78" s="37">
        <f t="shared" si="225"/>
        <v>0</v>
      </c>
      <c r="AH78" s="37">
        <f t="shared" si="225"/>
        <v>0</v>
      </c>
      <c r="AI78" s="37">
        <f t="shared" si="225"/>
        <v>0</v>
      </c>
      <c r="AL78" s="37">
        <f t="shared" ref="AL78:AW78" si="226">IF(AL74&lt;0,AL74,0)</f>
        <v>0</v>
      </c>
      <c r="AM78" s="37">
        <f t="shared" si="226"/>
        <v>0</v>
      </c>
      <c r="AN78" s="37">
        <f t="shared" si="226"/>
        <v>0</v>
      </c>
      <c r="AO78" s="37">
        <f t="shared" si="226"/>
        <v>0</v>
      </c>
      <c r="AP78" s="37">
        <f t="shared" si="226"/>
        <v>0</v>
      </c>
      <c r="AQ78" s="37">
        <f t="shared" si="226"/>
        <v>0</v>
      </c>
      <c r="AR78" s="37">
        <f t="shared" si="226"/>
        <v>-7482.9561141039685</v>
      </c>
      <c r="AS78" s="37">
        <f t="shared" si="226"/>
        <v>0</v>
      </c>
      <c r="AT78" s="37">
        <f t="shared" si="226"/>
        <v>0</v>
      </c>
      <c r="AU78" s="37">
        <f t="shared" si="226"/>
        <v>0</v>
      </c>
      <c r="AV78" s="37">
        <f t="shared" si="226"/>
        <v>0</v>
      </c>
      <c r="AW78" s="37">
        <f t="shared" si="226"/>
        <v>0</v>
      </c>
    </row>
    <row r="79" spans="6:49" x14ac:dyDescent="0.3">
      <c r="F79" t="s">
        <v>67</v>
      </c>
      <c r="J79" s="37">
        <f t="shared" ref="J79:U79" si="227">J74+J77</f>
        <v>51844.662153566562</v>
      </c>
      <c r="K79" s="37">
        <f t="shared" si="227"/>
        <v>47072.490985915494</v>
      </c>
      <c r="L79" s="37">
        <f t="shared" si="227"/>
        <v>45968.114300318033</v>
      </c>
      <c r="M79" s="37">
        <f t="shared" si="227"/>
        <v>51208.829565140841</v>
      </c>
      <c r="N79" s="37">
        <f t="shared" si="227"/>
        <v>63900.821851147215</v>
      </c>
      <c r="O79" s="37">
        <f t="shared" si="227"/>
        <v>60852.84897007043</v>
      </c>
      <c r="P79" s="37">
        <f t="shared" si="227"/>
        <v>52747.952602867212</v>
      </c>
      <c r="Q79" s="37">
        <f t="shared" si="227"/>
        <v>56747.371775442982</v>
      </c>
      <c r="R79" s="37">
        <f t="shared" si="227"/>
        <v>72377.998616197205</v>
      </c>
      <c r="S79" s="37">
        <f t="shared" si="227"/>
        <v>92509.544891753787</v>
      </c>
      <c r="T79" s="37">
        <f t="shared" si="227"/>
        <v>106633.79661971834</v>
      </c>
      <c r="U79" s="37">
        <f t="shared" si="227"/>
        <v>118698.81308836897</v>
      </c>
      <c r="X79" s="37">
        <f t="shared" ref="X79:AI79" si="228">X74+X77</f>
        <v>14803.518422308054</v>
      </c>
      <c r="Y79" s="37">
        <f t="shared" si="228"/>
        <v>13599.155598591582</v>
      </c>
      <c r="Z79" s="37">
        <f t="shared" si="228"/>
        <v>34518.015900726939</v>
      </c>
      <c r="AA79" s="37">
        <f t="shared" si="228"/>
        <v>62407.711971831028</v>
      </c>
      <c r="AB79" s="37">
        <f t="shared" si="228"/>
        <v>101098.04258746031</v>
      </c>
      <c r="AC79" s="37">
        <f t="shared" si="228"/>
        <v>113537.78090981378</v>
      </c>
      <c r="AD79" s="37">
        <f t="shared" si="228"/>
        <v>111678.85939134816</v>
      </c>
      <c r="AE79" s="37">
        <f t="shared" si="228"/>
        <v>125243.51568150848</v>
      </c>
      <c r="AF79" s="37">
        <f t="shared" si="228"/>
        <v>150539.14288732404</v>
      </c>
      <c r="AG79" s="37">
        <f t="shared" si="228"/>
        <v>175734.18167651075</v>
      </c>
      <c r="AH79" s="37">
        <f t="shared" si="228"/>
        <v>188855.53820422545</v>
      </c>
      <c r="AI79" s="37">
        <f t="shared" si="228"/>
        <v>196688.83267037722</v>
      </c>
      <c r="AL79" s="37">
        <f t="shared" ref="AL79:AW79" si="229">AL74+AL77</f>
        <v>21493.718818718789</v>
      </c>
      <c r="AM79" s="37">
        <f t="shared" si="229"/>
        <v>31329.39112676058</v>
      </c>
      <c r="AN79" s="37">
        <f t="shared" si="229"/>
        <v>43494.6740663335</v>
      </c>
      <c r="AO79" s="37">
        <f t="shared" si="229"/>
        <v>62837.592183098619</v>
      </c>
      <c r="AP79" s="37">
        <f t="shared" si="229"/>
        <v>48307.399420717848</v>
      </c>
      <c r="AQ79" s="37">
        <f t="shared" si="229"/>
        <v>53056.071615174915</v>
      </c>
      <c r="AR79" s="37">
        <f t="shared" si="229"/>
        <v>45573.115501070948</v>
      </c>
      <c r="AS79" s="37">
        <f t="shared" si="229"/>
        <v>51477.75111313042</v>
      </c>
      <c r="AT79" s="37">
        <f t="shared" si="229"/>
        <v>22889.309305835017</v>
      </c>
      <c r="AU79" s="37">
        <f t="shared" si="229"/>
        <v>39585.343494840025</v>
      </c>
      <c r="AV79" s="37">
        <f t="shared" si="229"/>
        <v>45502.498390342058</v>
      </c>
      <c r="AW79" s="37">
        <f t="shared" si="229"/>
        <v>46415.128649315229</v>
      </c>
    </row>
    <row r="80" spans="6:49" x14ac:dyDescent="0.3">
      <c r="F80" t="s">
        <v>77</v>
      </c>
      <c r="J80" s="37">
        <f>IF(J79&lt;0,-J79,0)</f>
        <v>0</v>
      </c>
      <c r="K80" s="37">
        <f>IF(K79&lt;0,-K79,0)</f>
        <v>0</v>
      </c>
      <c r="L80" s="37">
        <f>IF(L79&lt;0,-L79,0)</f>
        <v>0</v>
      </c>
      <c r="M80" s="37">
        <f t="shared" ref="M80:U80" si="230">IF(M79&lt;0,-M79,0)</f>
        <v>0</v>
      </c>
      <c r="N80" s="37">
        <f t="shared" si="230"/>
        <v>0</v>
      </c>
      <c r="O80" s="37">
        <f t="shared" si="230"/>
        <v>0</v>
      </c>
      <c r="P80" s="37">
        <f t="shared" si="230"/>
        <v>0</v>
      </c>
      <c r="Q80" s="37">
        <f t="shared" si="230"/>
        <v>0</v>
      </c>
      <c r="R80" s="37">
        <f t="shared" si="230"/>
        <v>0</v>
      </c>
      <c r="S80" s="37">
        <f t="shared" si="230"/>
        <v>0</v>
      </c>
      <c r="T80" s="37">
        <f t="shared" si="230"/>
        <v>0</v>
      </c>
      <c r="U80" s="37">
        <f t="shared" si="230"/>
        <v>0</v>
      </c>
      <c r="X80" s="37">
        <f>IF(X79&lt;0,-X79,0)</f>
        <v>0</v>
      </c>
      <c r="Y80" s="37">
        <f>IF(Y79&lt;0,-Y79,0)</f>
        <v>0</v>
      </c>
      <c r="Z80" s="37">
        <f>IF(Z79&lt;0,-Z79,0)</f>
        <v>0</v>
      </c>
      <c r="AA80" s="37">
        <f t="shared" ref="AA80" si="231">IF(AA79&lt;0,-AA79,0)</f>
        <v>0</v>
      </c>
      <c r="AB80" s="37">
        <f t="shared" ref="AB80" si="232">IF(AB79&lt;0,-AB79,0)</f>
        <v>0</v>
      </c>
      <c r="AC80" s="37">
        <f t="shared" ref="AC80" si="233">IF(AC79&lt;0,-AC79,0)</f>
        <v>0</v>
      </c>
      <c r="AD80" s="37">
        <f t="shared" ref="AD80" si="234">IF(AD79&lt;0,-AD79,0)</f>
        <v>0</v>
      </c>
      <c r="AE80" s="37">
        <f t="shared" ref="AE80" si="235">IF(AE79&lt;0,-AE79,0)</f>
        <v>0</v>
      </c>
      <c r="AF80" s="37">
        <f t="shared" ref="AF80" si="236">IF(AF79&lt;0,-AF79,0)</f>
        <v>0</v>
      </c>
      <c r="AG80" s="37">
        <f t="shared" ref="AG80" si="237">IF(AG79&lt;0,-AG79,0)</f>
        <v>0</v>
      </c>
      <c r="AH80" s="37">
        <f t="shared" ref="AH80" si="238">IF(AH79&lt;0,-AH79,0)</f>
        <v>0</v>
      </c>
      <c r="AI80" s="37">
        <f t="shared" ref="AI80" si="239">IF(AI79&lt;0,-AI79,0)</f>
        <v>0</v>
      </c>
      <c r="AL80" s="37">
        <f>IF(AL79&lt;0,-AL79,0)</f>
        <v>0</v>
      </c>
      <c r="AM80" s="37">
        <f>IF(AM79&lt;0,-AM79,0)</f>
        <v>0</v>
      </c>
      <c r="AN80" s="37">
        <f>IF(AN79&lt;0,-AN79,0)</f>
        <v>0</v>
      </c>
      <c r="AO80" s="37">
        <f t="shared" ref="AO80" si="240">IF(AO79&lt;0,-AO79,0)</f>
        <v>0</v>
      </c>
      <c r="AP80" s="37">
        <f t="shared" ref="AP80" si="241">IF(AP79&lt;0,-AP79,0)</f>
        <v>0</v>
      </c>
      <c r="AQ80" s="37">
        <f t="shared" ref="AQ80" si="242">IF(AQ79&lt;0,-AQ79,0)</f>
        <v>0</v>
      </c>
      <c r="AR80" s="37">
        <f t="shared" ref="AR80" si="243">IF(AR79&lt;0,-AR79,0)</f>
        <v>0</v>
      </c>
      <c r="AS80" s="37">
        <f t="shared" ref="AS80" si="244">IF(AS79&lt;0,-AS79,0)</f>
        <v>0</v>
      </c>
      <c r="AT80" s="37">
        <f t="shared" ref="AT80" si="245">IF(AT79&lt;0,-AT79,0)</f>
        <v>0</v>
      </c>
      <c r="AU80" s="37">
        <f t="shared" ref="AU80" si="246">IF(AU79&lt;0,-AU79,0)</f>
        <v>0</v>
      </c>
      <c r="AV80" s="37">
        <f t="shared" ref="AV80" si="247">IF(AV79&lt;0,-AV79,0)</f>
        <v>0</v>
      </c>
      <c r="AW80" s="37">
        <f t="shared" ref="AW80" si="248">IF(AW79&lt;0,-AW79,0)</f>
        <v>0</v>
      </c>
    </row>
    <row r="81" spans="6:49" x14ac:dyDescent="0.3">
      <c r="F81" t="s">
        <v>78</v>
      </c>
      <c r="J81" s="47" t="s">
        <v>79</v>
      </c>
      <c r="K81" s="47" t="s">
        <v>79</v>
      </c>
      <c r="L81" s="47" t="s">
        <v>79</v>
      </c>
      <c r="M81" s="47" t="s">
        <v>81</v>
      </c>
      <c r="N81" s="47" t="s">
        <v>79</v>
      </c>
      <c r="O81" s="47" t="s">
        <v>79</v>
      </c>
      <c r="P81" s="47" t="s">
        <v>79</v>
      </c>
      <c r="Q81" s="47" t="s">
        <v>79</v>
      </c>
      <c r="R81" s="47" t="s">
        <v>79</v>
      </c>
      <c r="S81" s="47" t="s">
        <v>79</v>
      </c>
      <c r="T81" s="47" t="s">
        <v>79</v>
      </c>
      <c r="U81" s="47" t="s">
        <v>80</v>
      </c>
      <c r="X81" s="47" t="s">
        <v>79</v>
      </c>
      <c r="Y81" s="47" t="s">
        <v>79</v>
      </c>
      <c r="Z81" s="47" t="s">
        <v>79</v>
      </c>
      <c r="AA81" s="47" t="s">
        <v>79</v>
      </c>
      <c r="AB81" s="47" t="s">
        <v>79</v>
      </c>
      <c r="AC81" s="47" t="s">
        <v>79</v>
      </c>
      <c r="AD81" s="47" t="s">
        <v>79</v>
      </c>
      <c r="AE81" s="47" t="s">
        <v>79</v>
      </c>
      <c r="AF81" s="47" t="s">
        <v>79</v>
      </c>
      <c r="AG81" s="47" t="s">
        <v>79</v>
      </c>
      <c r="AH81" s="47" t="s">
        <v>79</v>
      </c>
      <c r="AI81" s="47" t="s">
        <v>80</v>
      </c>
      <c r="AL81" s="47" t="s">
        <v>79</v>
      </c>
      <c r="AM81" s="47" t="s">
        <v>79</v>
      </c>
      <c r="AN81" s="47" t="s">
        <v>79</v>
      </c>
      <c r="AO81" s="47" t="s">
        <v>80</v>
      </c>
      <c r="AP81" s="47" t="s">
        <v>79</v>
      </c>
      <c r="AQ81" s="47" t="s">
        <v>79</v>
      </c>
      <c r="AR81" s="47" t="s">
        <v>79</v>
      </c>
      <c r="AS81" s="47" t="s">
        <v>80</v>
      </c>
      <c r="AT81" s="47" t="s">
        <v>79</v>
      </c>
      <c r="AU81" s="47" t="s">
        <v>79</v>
      </c>
      <c r="AV81" s="47" t="s">
        <v>79</v>
      </c>
      <c r="AW81" s="47" t="s">
        <v>80</v>
      </c>
    </row>
    <row r="82" spans="6:49" x14ac:dyDescent="0.3">
      <c r="F82" s="39" t="s">
        <v>68</v>
      </c>
      <c r="G82" s="39"/>
      <c r="H82" s="39"/>
      <c r="I82" s="39"/>
      <c r="J82" s="40">
        <f>IF(J81="NO",J79+J80,J74)</f>
        <v>51844.662153566562</v>
      </c>
      <c r="K82" s="40">
        <f t="shared" ref="K82:U82" si="249">IF(K81="NO",K79+K80,K74)</f>
        <v>47072.490985915494</v>
      </c>
      <c r="L82" s="40">
        <f t="shared" si="249"/>
        <v>45968.114300318033</v>
      </c>
      <c r="M82" s="40">
        <f t="shared" si="249"/>
        <v>51208.829565140841</v>
      </c>
      <c r="N82" s="40">
        <f t="shared" si="249"/>
        <v>63900.821851147215</v>
      </c>
      <c r="O82" s="40">
        <f t="shared" si="249"/>
        <v>60852.84897007043</v>
      </c>
      <c r="P82" s="40">
        <f t="shared" si="249"/>
        <v>52747.952602867212</v>
      </c>
      <c r="Q82" s="40">
        <f t="shared" si="249"/>
        <v>56747.371775442982</v>
      </c>
      <c r="R82" s="40">
        <f t="shared" si="249"/>
        <v>72377.998616197205</v>
      </c>
      <c r="S82" s="40">
        <f t="shared" si="249"/>
        <v>92509.544891753787</v>
      </c>
      <c r="T82" s="40">
        <f t="shared" si="249"/>
        <v>106633.79661971834</v>
      </c>
      <c r="U82" s="40">
        <f t="shared" si="249"/>
        <v>12065.016468650625</v>
      </c>
      <c r="X82" s="40">
        <f>IF(X81="NO",X79+X80,X74)</f>
        <v>14803.518422308054</v>
      </c>
      <c r="Y82" s="40">
        <f t="shared" ref="Y82" si="250">IF(Y81="NO",Y79+Y80,Y74)</f>
        <v>13599.155598591582</v>
      </c>
      <c r="Z82" s="40">
        <f t="shared" ref="Z82" si="251">IF(Z81="NO",Z79+Z80,Z74)</f>
        <v>34518.015900726939</v>
      </c>
      <c r="AA82" s="40">
        <f t="shared" ref="AA82" si="252">IF(AA81="NO",AA79+AA80,AA74)</f>
        <v>62407.711971831028</v>
      </c>
      <c r="AB82" s="40">
        <f t="shared" ref="AB82" si="253">IF(AB81="NO",AB79+AB80,AB74)</f>
        <v>101098.04258746031</v>
      </c>
      <c r="AC82" s="40">
        <f t="shared" ref="AC82" si="254">IF(AC81="NO",AC79+AC80,AC74)</f>
        <v>113537.78090981378</v>
      </c>
      <c r="AD82" s="40">
        <f t="shared" ref="AD82" si="255">IF(AD81="NO",AD79+AD80,AD74)</f>
        <v>111678.85939134816</v>
      </c>
      <c r="AE82" s="40">
        <f t="shared" ref="AE82" si="256">IF(AE81="NO",AE79+AE80,AE74)</f>
        <v>125243.51568150848</v>
      </c>
      <c r="AF82" s="40">
        <f t="shared" ref="AF82" si="257">IF(AF81="NO",AF79+AF80,AF74)</f>
        <v>150539.14288732404</v>
      </c>
      <c r="AG82" s="40">
        <f t="shared" ref="AG82" si="258">IF(AG81="NO",AG79+AG80,AG74)</f>
        <v>175734.18167651075</v>
      </c>
      <c r="AH82" s="40">
        <f t="shared" ref="AH82" si="259">IF(AH81="NO",AH79+AH80,AH74)</f>
        <v>188855.53820422545</v>
      </c>
      <c r="AI82" s="40">
        <f t="shared" ref="AI82" si="260">IF(AI81="NO",AI79+AI80,AI74)</f>
        <v>7833.294466151764</v>
      </c>
      <c r="AL82" s="40">
        <f>IF(AL81="NO",AL79+AL80,AL74)</f>
        <v>21493.718818718789</v>
      </c>
      <c r="AM82" s="40">
        <f t="shared" ref="AM82" si="261">IF(AM81="NO",AM79+AM80,AM74)</f>
        <v>31329.39112676058</v>
      </c>
      <c r="AN82" s="40">
        <f t="shared" ref="AN82" si="262">IF(AN81="NO",AN79+AN80,AN74)</f>
        <v>43494.6740663335</v>
      </c>
      <c r="AO82" s="40">
        <f t="shared" ref="AO82" si="263">IF(AO81="NO",AO79+AO80,AO74)</f>
        <v>19342.918116765115</v>
      </c>
      <c r="AP82" s="40">
        <f t="shared" ref="AP82" si="264">IF(AP81="NO",AP79+AP80,AP74)</f>
        <v>48307.399420717848</v>
      </c>
      <c r="AQ82" s="40">
        <f t="shared" ref="AQ82" si="265">IF(AQ81="NO",AQ79+AQ80,AQ74)</f>
        <v>53056.071615174915</v>
      </c>
      <c r="AR82" s="40">
        <f t="shared" ref="AR82" si="266">IF(AR81="NO",AR79+AR80,AR74)</f>
        <v>45573.115501070948</v>
      </c>
      <c r="AS82" s="40">
        <f t="shared" ref="AS82" si="267">IF(AS81="NO",AS79+AS80,AS74)</f>
        <v>5904.6356120594683</v>
      </c>
      <c r="AT82" s="40">
        <f t="shared" ref="AT82" si="268">IF(AT81="NO",AT79+AT80,AT74)</f>
        <v>22889.309305835017</v>
      </c>
      <c r="AU82" s="40">
        <f t="shared" ref="AU82" si="269">IF(AU81="NO",AU79+AU80,AU74)</f>
        <v>39585.343494840025</v>
      </c>
      <c r="AV82" s="40">
        <f t="shared" ref="AV82" si="270">IF(AV81="NO",AV79+AV80,AV74)</f>
        <v>45502.498390342058</v>
      </c>
      <c r="AW82" s="40">
        <f t="shared" ref="AW82" si="271">IF(AW81="NO",AW79+AW80,AW74)</f>
        <v>912.63025897317175</v>
      </c>
    </row>
    <row r="83" spans="6:49" x14ac:dyDescent="0.3">
      <c r="F83" s="49" t="s">
        <v>82</v>
      </c>
      <c r="J83" s="37">
        <f>(J79+J80)-J82</f>
        <v>0</v>
      </c>
      <c r="K83" s="37">
        <f>(K79+K80)-K82</f>
        <v>0</v>
      </c>
      <c r="L83" s="37">
        <f>(L79+L80)-L82</f>
        <v>0</v>
      </c>
      <c r="M83" s="37">
        <f>M79-M82</f>
        <v>0</v>
      </c>
      <c r="N83" s="37">
        <f>N79-N82</f>
        <v>0</v>
      </c>
      <c r="O83" s="37">
        <f>O79-O82</f>
        <v>0</v>
      </c>
      <c r="P83" s="48">
        <f>IF(P81="Si",P79-P82,0)</f>
        <v>0</v>
      </c>
      <c r="Q83" s="37">
        <f>Q79-Q82</f>
        <v>0</v>
      </c>
      <c r="R83" s="37">
        <f>R79-R82</f>
        <v>0</v>
      </c>
      <c r="S83" s="37">
        <f>S79-S82</f>
        <v>0</v>
      </c>
      <c r="T83" s="48">
        <f>T79-T82</f>
        <v>0</v>
      </c>
      <c r="U83" s="37">
        <f>U79-U82</f>
        <v>106633.79661971834</v>
      </c>
      <c r="X83" s="37">
        <f>(X79+X80)-X82</f>
        <v>0</v>
      </c>
      <c r="Y83" s="37">
        <f>(Y79+Y80)-Y82</f>
        <v>0</v>
      </c>
      <c r="Z83" s="37">
        <f>(Z79+Z80)-Z82</f>
        <v>0</v>
      </c>
      <c r="AA83" s="37">
        <f>AA79-AA82</f>
        <v>0</v>
      </c>
      <c r="AB83" s="37">
        <f>AB79-AB82</f>
        <v>0</v>
      </c>
      <c r="AC83" s="37">
        <f>AC79-AC82</f>
        <v>0</v>
      </c>
      <c r="AD83" s="48">
        <f>IF(AD81="Si",AD79-AD82,0)</f>
        <v>0</v>
      </c>
      <c r="AE83" s="37">
        <f>AE79-AE82</f>
        <v>0</v>
      </c>
      <c r="AF83" s="37">
        <f>AF79-AF82</f>
        <v>0</v>
      </c>
      <c r="AG83" s="37">
        <f>AG79-AG82</f>
        <v>0</v>
      </c>
      <c r="AH83" s="48">
        <f>AH79-AH82</f>
        <v>0</v>
      </c>
      <c r="AI83" s="37">
        <f>AI79-AI82</f>
        <v>188855.53820422545</v>
      </c>
      <c r="AL83" s="37">
        <f>(AL79+AL80)-AL82</f>
        <v>0</v>
      </c>
      <c r="AM83" s="37">
        <f>(AM79+AM80)-AM82</f>
        <v>0</v>
      </c>
      <c r="AN83" s="37">
        <f>(AN79+AN80)-AN82</f>
        <v>0</v>
      </c>
      <c r="AO83" s="37">
        <f>AO79-AO82</f>
        <v>43494.674066333508</v>
      </c>
      <c r="AP83" s="37">
        <f>AP79-AP82</f>
        <v>0</v>
      </c>
      <c r="AQ83" s="37">
        <f>AQ79-AQ82</f>
        <v>0</v>
      </c>
      <c r="AR83" s="48">
        <f>IF(AR81="Si",AR79-AR82,0)</f>
        <v>0</v>
      </c>
      <c r="AS83" s="37">
        <f>AS79-AS82</f>
        <v>45573.115501070948</v>
      </c>
      <c r="AT83" s="37">
        <f>AT79-AT82</f>
        <v>0</v>
      </c>
      <c r="AU83" s="37">
        <f>AU79-AU82</f>
        <v>0</v>
      </c>
      <c r="AV83" s="48">
        <f>AV79-AV82</f>
        <v>0</v>
      </c>
      <c r="AW83" s="37">
        <f>AW79-AW82</f>
        <v>45502.498390342058</v>
      </c>
    </row>
    <row r="84" spans="6:49" x14ac:dyDescent="0.3">
      <c r="J84" s="4" t="str">
        <f t="shared" ref="J84:O84" si="272">IF(J83&gt;0,"REPARTIJA","")</f>
        <v/>
      </c>
      <c r="K84" s="4" t="str">
        <f t="shared" si="272"/>
        <v/>
      </c>
      <c r="L84" s="4" t="str">
        <f t="shared" si="272"/>
        <v/>
      </c>
      <c r="M84" s="4" t="str">
        <f t="shared" si="272"/>
        <v/>
      </c>
      <c r="N84" s="4" t="str">
        <f t="shared" si="272"/>
        <v/>
      </c>
      <c r="O84" s="4" t="str">
        <f t="shared" si="272"/>
        <v/>
      </c>
      <c r="P84" s="4" t="str">
        <f>IF(P83&gt;0,"REPARTIJA","")</f>
        <v/>
      </c>
      <c r="Q84" s="4" t="str">
        <f t="shared" ref="Q84:U84" si="273">IF(Q83&gt;0,"REPARTIJA","")</f>
        <v/>
      </c>
      <c r="R84" s="4" t="str">
        <f t="shared" si="273"/>
        <v/>
      </c>
      <c r="S84" s="4" t="str">
        <f t="shared" si="273"/>
        <v/>
      </c>
      <c r="T84" s="4" t="str">
        <f t="shared" si="273"/>
        <v/>
      </c>
      <c r="U84" s="4" t="str">
        <f t="shared" si="273"/>
        <v>REPARTIJA</v>
      </c>
      <c r="X84" s="4" t="str">
        <f t="shared" ref="X84" si="274">IF(X83&gt;0,"REPARTIJA","")</f>
        <v/>
      </c>
      <c r="Y84" s="4" t="str">
        <f t="shared" ref="Y84" si="275">IF(Y83&gt;0,"REPARTIJA","")</f>
        <v/>
      </c>
      <c r="Z84" s="4" t="str">
        <f t="shared" ref="Z84" si="276">IF(Z83&gt;0,"REPARTIJA","")</f>
        <v/>
      </c>
      <c r="AA84" s="4" t="str">
        <f t="shared" ref="AA84" si="277">IF(AA83&gt;0,"REPARTIJA","")</f>
        <v/>
      </c>
      <c r="AB84" s="4" t="str">
        <f t="shared" ref="AB84" si="278">IF(AB83&gt;0,"REPARTIJA","")</f>
        <v/>
      </c>
      <c r="AC84" s="4" t="str">
        <f t="shared" ref="AC84" si="279">IF(AC83&gt;0,"REPARTIJA","")</f>
        <v/>
      </c>
      <c r="AD84" s="4" t="str">
        <f>IF(AD83&gt;0,"REPARTIJA","")</f>
        <v/>
      </c>
      <c r="AE84" s="4" t="str">
        <f t="shared" ref="AE84" si="280">IF(AE83&gt;0,"REPARTIJA","")</f>
        <v/>
      </c>
      <c r="AF84" s="4" t="str">
        <f t="shared" ref="AF84" si="281">IF(AF83&gt;0,"REPARTIJA","")</f>
        <v/>
      </c>
      <c r="AG84" s="4" t="str">
        <f t="shared" ref="AG84" si="282">IF(AG83&gt;0,"REPARTIJA","")</f>
        <v/>
      </c>
      <c r="AH84" s="4" t="str">
        <f t="shared" ref="AH84" si="283">IF(AH83&gt;0,"REPARTIJA","")</f>
        <v/>
      </c>
      <c r="AI84" s="4" t="str">
        <f t="shared" ref="AI84" si="284">IF(AI83&gt;0,"REPARTIJA","")</f>
        <v>REPARTIJA</v>
      </c>
      <c r="AL84" s="4" t="str">
        <f t="shared" ref="AL84" si="285">IF(AL83&gt;0,"REPARTIJA","")</f>
        <v/>
      </c>
      <c r="AM84" s="4" t="str">
        <f t="shared" ref="AM84" si="286">IF(AM83&gt;0,"REPARTIJA","")</f>
        <v/>
      </c>
      <c r="AN84" s="4" t="str">
        <f t="shared" ref="AN84" si="287">IF(AN83&gt;0,"REPARTIJA","")</f>
        <v/>
      </c>
      <c r="AO84" s="4" t="str">
        <f t="shared" ref="AO84" si="288">IF(AO83&gt;0,"REPARTIJA","")</f>
        <v>REPARTIJA</v>
      </c>
      <c r="AP84" s="4" t="str">
        <f t="shared" ref="AP84" si="289">IF(AP83&gt;0,"REPARTIJA","")</f>
        <v/>
      </c>
      <c r="AQ84" s="4" t="str">
        <f t="shared" ref="AQ84" si="290">IF(AQ83&gt;0,"REPARTIJA","")</f>
        <v/>
      </c>
      <c r="AR84" s="4" t="str">
        <f>IF(AR83&gt;0,"REPARTIJA","")</f>
        <v/>
      </c>
      <c r="AS84" s="4" t="str">
        <f t="shared" ref="AS84" si="291">IF(AS83&gt;0,"REPARTIJA","")</f>
        <v>REPARTIJA</v>
      </c>
      <c r="AT84" s="4" t="str">
        <f t="shared" ref="AT84" si="292">IF(AT83&gt;0,"REPARTIJA","")</f>
        <v/>
      </c>
      <c r="AU84" s="4" t="str">
        <f t="shared" ref="AU84" si="293">IF(AU83&gt;0,"REPARTIJA","")</f>
        <v/>
      </c>
      <c r="AV84" s="4" t="str">
        <f t="shared" ref="AV84" si="294">IF(AV83&gt;0,"REPARTIJA","")</f>
        <v/>
      </c>
      <c r="AW84" s="4" t="str">
        <f t="shared" ref="AW84" si="295">IF(AW83&gt;0,"REPARTIJA","")</f>
        <v>REPARTIJA</v>
      </c>
    </row>
    <row r="87" spans="6:49" x14ac:dyDescent="0.3">
      <c r="F87" t="s">
        <v>75</v>
      </c>
      <c r="J87" s="14">
        <f>-J71</f>
        <v>2359.1549295774648</v>
      </c>
      <c r="K87" s="14">
        <f t="shared" ref="K87:M89" si="296">-K71+J87</f>
        <v>4718.3098591549297</v>
      </c>
      <c r="L87" s="14">
        <f t="shared" si="296"/>
        <v>7077.4647887323945</v>
      </c>
      <c r="M87" s="14">
        <f t="shared" si="296"/>
        <v>9718.3098591549297</v>
      </c>
      <c r="N87" s="44">
        <v>0</v>
      </c>
      <c r="O87" s="14">
        <f>-O71</f>
        <v>2359.1549295774648</v>
      </c>
      <c r="P87" s="14">
        <f t="shared" ref="P87:T89" si="297">-P71+O87</f>
        <v>4718.3098591549297</v>
      </c>
      <c r="Q87" s="14">
        <f t="shared" si="297"/>
        <v>7359.1549295774648</v>
      </c>
      <c r="R87" s="14">
        <f t="shared" si="297"/>
        <v>10000</v>
      </c>
      <c r="S87" s="14">
        <f t="shared" si="297"/>
        <v>12640.845070422536</v>
      </c>
      <c r="T87" s="14">
        <f t="shared" si="297"/>
        <v>15281.690140845072</v>
      </c>
      <c r="U87" s="22">
        <v>0</v>
      </c>
      <c r="X87" s="14">
        <f>-X71</f>
        <v>3521.1267605633802</v>
      </c>
      <c r="Y87" s="14">
        <f t="shared" ref="Y87:AA89" si="298">-Y71+X87</f>
        <v>7042.2535211267605</v>
      </c>
      <c r="Z87" s="14">
        <f t="shared" si="298"/>
        <v>10563.380281690141</v>
      </c>
      <c r="AA87" s="14">
        <f t="shared" si="298"/>
        <v>14084.507042253521</v>
      </c>
      <c r="AB87" s="44">
        <v>0</v>
      </c>
      <c r="AC87" s="14">
        <f>-AC71</f>
        <v>3521.1267605633802</v>
      </c>
      <c r="AD87" s="14">
        <f t="shared" ref="AD87:AH89" si="299">-AD71+AC87</f>
        <v>7042.2535211267605</v>
      </c>
      <c r="AE87" s="14">
        <f t="shared" si="299"/>
        <v>10563.380281690141</v>
      </c>
      <c r="AF87" s="14">
        <f t="shared" si="299"/>
        <v>14084.507042253521</v>
      </c>
      <c r="AG87" s="14">
        <f t="shared" si="299"/>
        <v>17605.633802816901</v>
      </c>
      <c r="AH87" s="14">
        <f t="shared" si="299"/>
        <v>21126.760563380281</v>
      </c>
      <c r="AI87" s="22">
        <v>0</v>
      </c>
      <c r="AL87" s="14">
        <f>-AL71</f>
        <v>3521.1267605633802</v>
      </c>
      <c r="AM87" s="14">
        <f t="shared" ref="AM87:AO89" si="300">-AM71+AL87</f>
        <v>7042.2535211267605</v>
      </c>
      <c r="AN87" s="14">
        <f t="shared" si="300"/>
        <v>10563.380281690141</v>
      </c>
      <c r="AO87" s="14">
        <f t="shared" si="300"/>
        <v>14084.507042253521</v>
      </c>
      <c r="AP87" s="44">
        <v>0</v>
      </c>
      <c r="AQ87" s="14">
        <f>-AQ71</f>
        <v>3521.1267605633802</v>
      </c>
      <c r="AR87" s="14">
        <f t="shared" ref="AR87:AV89" si="301">-AR71+AQ87</f>
        <v>7042.2535211267605</v>
      </c>
      <c r="AS87" s="14">
        <f t="shared" si="301"/>
        <v>10563.380281690141</v>
      </c>
      <c r="AT87" s="14">
        <f t="shared" si="301"/>
        <v>14084.507042253521</v>
      </c>
      <c r="AU87" s="14">
        <f t="shared" si="301"/>
        <v>17605.633802816901</v>
      </c>
      <c r="AV87" s="14">
        <f t="shared" si="301"/>
        <v>21126.760563380281</v>
      </c>
      <c r="AW87" s="22">
        <v>0</v>
      </c>
    </row>
    <row r="88" spans="6:49" x14ac:dyDescent="0.3">
      <c r="F88" t="s">
        <v>72</v>
      </c>
      <c r="J88" s="14">
        <f>-J72</f>
        <v>0</v>
      </c>
      <c r="K88" s="14">
        <f t="shared" si="296"/>
        <v>-161.58705281690132</v>
      </c>
      <c r="L88" s="14">
        <f t="shared" si="296"/>
        <v>-218.63847183098574</v>
      </c>
      <c r="M88" s="14">
        <f t="shared" si="296"/>
        <v>1018.7888054577465</v>
      </c>
      <c r="N88" s="14">
        <f>-N72+M88</f>
        <v>1410.5041382042255</v>
      </c>
      <c r="O88" s="14">
        <f>-O72+N88</f>
        <v>1410.5041382042255</v>
      </c>
      <c r="P88" s="14">
        <f t="shared" si="297"/>
        <v>1429.9725079225354</v>
      </c>
      <c r="Q88" s="14">
        <f t="shared" si="297"/>
        <v>2428.3367464788735</v>
      </c>
      <c r="R88" s="14">
        <f t="shared" si="297"/>
        <v>3696.4713661971841</v>
      </c>
      <c r="S88" s="14">
        <f t="shared" si="297"/>
        <v>5035.6653274647897</v>
      </c>
      <c r="T88" s="14">
        <f t="shared" si="297"/>
        <v>5592.6465193661979</v>
      </c>
      <c r="U88" s="14">
        <f>-U72+T88</f>
        <v>7027.2069419014106</v>
      </c>
      <c r="X88" s="14">
        <f>-X72</f>
        <v>0</v>
      </c>
      <c r="Y88" s="14">
        <f t="shared" si="298"/>
        <v>-1369.3352288732394</v>
      </c>
      <c r="Z88" s="14">
        <f t="shared" si="298"/>
        <v>-2564.4444014084511</v>
      </c>
      <c r="AA88" s="14">
        <f t="shared" si="298"/>
        <v>364.21403169014138</v>
      </c>
      <c r="AB88" s="14">
        <f>-AB72+AA88</f>
        <v>1991.7771654929581</v>
      </c>
      <c r="AC88" s="14">
        <f>-AC72+AB88</f>
        <v>2097.9734859154937</v>
      </c>
      <c r="AD88" s="14">
        <f t="shared" si="299"/>
        <v>2563.1999295774663</v>
      </c>
      <c r="AE88" s="14">
        <f t="shared" si="299"/>
        <v>4310.8545950704238</v>
      </c>
      <c r="AF88" s="14">
        <f t="shared" si="299"/>
        <v>6065.3538556338044</v>
      </c>
      <c r="AG88" s="14">
        <f t="shared" si="299"/>
        <v>7592.1147711267622</v>
      </c>
      <c r="AH88" s="14">
        <f t="shared" si="299"/>
        <v>7968.3614788732411</v>
      </c>
      <c r="AI88" s="14">
        <f>-AI72+AH88</f>
        <v>9174.048661971834</v>
      </c>
      <c r="AL88" s="14">
        <f>-AL72</f>
        <v>-648.8426056338028</v>
      </c>
      <c r="AM88" s="14">
        <f t="shared" si="300"/>
        <v>-1572.0346830985916</v>
      </c>
      <c r="AN88" s="14">
        <f t="shared" si="300"/>
        <v>-2336.8394366197181</v>
      </c>
      <c r="AO88" s="14">
        <f t="shared" si="300"/>
        <v>3.9191901408453305</v>
      </c>
      <c r="AP88" s="14">
        <f>-AP72+AO88</f>
        <v>1161.8639084507045</v>
      </c>
      <c r="AQ88" s="14">
        <f>-AQ72+AP88</f>
        <v>1161.8639084507045</v>
      </c>
      <c r="AR88" s="14">
        <f t="shared" si="301"/>
        <v>1263.1389084507045</v>
      </c>
      <c r="AS88" s="14">
        <f t="shared" si="301"/>
        <v>2530.2577464788737</v>
      </c>
      <c r="AT88" s="14">
        <f t="shared" si="301"/>
        <v>3803.598943661972</v>
      </c>
      <c r="AU88" s="14">
        <f t="shared" si="301"/>
        <v>4869.9052816901412</v>
      </c>
      <c r="AV88" s="14">
        <f t="shared" si="301"/>
        <v>4890.289612676057</v>
      </c>
      <c r="AW88" s="14">
        <f>-AW72+AV88</f>
        <v>5664.7107394366203</v>
      </c>
    </row>
    <row r="89" spans="6:49" x14ac:dyDescent="0.3">
      <c r="F89" t="s">
        <v>49</v>
      </c>
      <c r="J89" s="14">
        <f>-J73</f>
        <v>993.40573943662002</v>
      </c>
      <c r="K89" s="14">
        <f t="shared" si="296"/>
        <v>2148.1291901408454</v>
      </c>
      <c r="L89" s="14">
        <f t="shared" si="296"/>
        <v>3302.8526408450707</v>
      </c>
      <c r="M89" s="14">
        <f t="shared" si="296"/>
        <v>4457.5760915492956</v>
      </c>
      <c r="N89" s="14">
        <f>-N73+M89</f>
        <v>5612.2995422535205</v>
      </c>
      <c r="O89" s="14">
        <f>-O73+N89</f>
        <v>6767.0229929577454</v>
      </c>
      <c r="P89" s="14">
        <f t="shared" si="297"/>
        <v>7921.7464436619703</v>
      </c>
      <c r="Q89" s="14">
        <f t="shared" si="297"/>
        <v>9076.4698943661951</v>
      </c>
      <c r="R89" s="14">
        <f t="shared" si="297"/>
        <v>10231.19334507042</v>
      </c>
      <c r="S89" s="14">
        <f t="shared" si="297"/>
        <v>11385.916795774645</v>
      </c>
      <c r="T89" s="14">
        <f t="shared" si="297"/>
        <v>12540.64024647887</v>
      </c>
      <c r="U89" s="14">
        <f>-U73+T89</f>
        <v>13695.363697183095</v>
      </c>
      <c r="X89" s="14">
        <f>-X73</f>
        <v>1083.7153521126763</v>
      </c>
      <c r="Y89" s="14">
        <f t="shared" si="298"/>
        <v>3008.2544366197185</v>
      </c>
      <c r="Z89" s="14">
        <f t="shared" si="298"/>
        <v>4932.7935211267604</v>
      </c>
      <c r="AA89" s="14">
        <f t="shared" si="298"/>
        <v>6857.3326056338028</v>
      </c>
      <c r="AB89" s="14">
        <f>-AB73+AA89</f>
        <v>8781.8716901408443</v>
      </c>
      <c r="AC89" s="14">
        <f>-AC73+AB89</f>
        <v>10706.410774647886</v>
      </c>
      <c r="AD89" s="14">
        <f t="shared" si="299"/>
        <v>12630.949859154927</v>
      </c>
      <c r="AE89" s="14">
        <f t="shared" si="299"/>
        <v>14555.488943661969</v>
      </c>
      <c r="AF89" s="14">
        <f t="shared" si="299"/>
        <v>16480.02802816901</v>
      </c>
      <c r="AG89" s="14">
        <f t="shared" si="299"/>
        <v>18404.567112676054</v>
      </c>
      <c r="AH89" s="14">
        <f t="shared" si="299"/>
        <v>20329.106197183097</v>
      </c>
      <c r="AI89" s="14">
        <f>-AI73+AH89</f>
        <v>22253.64528169014</v>
      </c>
      <c r="AL89" s="14">
        <f>-AL73</f>
        <v>1641.9929577464789</v>
      </c>
      <c r="AM89" s="14">
        <f t="shared" si="300"/>
        <v>3391.5739436619715</v>
      </c>
      <c r="AN89" s="14">
        <f t="shared" si="300"/>
        <v>5141.1549295774639</v>
      </c>
      <c r="AO89" s="14">
        <f t="shared" si="300"/>
        <v>6890.7359154929563</v>
      </c>
      <c r="AP89" s="14">
        <f>-AP73+AO89</f>
        <v>8640.3169014084488</v>
      </c>
      <c r="AQ89" s="14">
        <f>-AQ73+AP89</f>
        <v>10389.897887323941</v>
      </c>
      <c r="AR89" s="14">
        <f t="shared" si="301"/>
        <v>12139.478873239434</v>
      </c>
      <c r="AS89" s="14">
        <f t="shared" si="301"/>
        <v>13889.059859154926</v>
      </c>
      <c r="AT89" s="14">
        <f t="shared" si="301"/>
        <v>15638.640845070418</v>
      </c>
      <c r="AU89" s="14">
        <f t="shared" si="301"/>
        <v>17388.221830985913</v>
      </c>
      <c r="AV89" s="14">
        <f t="shared" si="301"/>
        <v>19137.802816901407</v>
      </c>
      <c r="AW89" s="14">
        <f>-AW73+AV89</f>
        <v>20887.383802816901</v>
      </c>
    </row>
    <row r="90" spans="6:49" x14ac:dyDescent="0.3">
      <c r="W90" s="49" t="s">
        <v>76</v>
      </c>
      <c r="AK90" s="49" t="s">
        <v>76</v>
      </c>
    </row>
    <row r="91" spans="6:49" x14ac:dyDescent="0.3">
      <c r="F91" s="129" t="s">
        <v>142</v>
      </c>
      <c r="G91" s="129"/>
      <c r="H91" s="129"/>
      <c r="I91" s="130">
        <v>0</v>
      </c>
      <c r="J91" s="130">
        <v>1</v>
      </c>
      <c r="K91" s="130">
        <v>2</v>
      </c>
      <c r="L91" s="130">
        <v>3</v>
      </c>
      <c r="M91" s="130">
        <v>4</v>
      </c>
      <c r="N91" s="130">
        <v>5</v>
      </c>
      <c r="O91" s="130">
        <v>6</v>
      </c>
      <c r="P91" s="130">
        <v>7</v>
      </c>
      <c r="Q91" s="130">
        <v>8</v>
      </c>
      <c r="R91" s="130">
        <v>9</v>
      </c>
      <c r="S91" s="130">
        <v>10</v>
      </c>
      <c r="T91" s="130">
        <v>11</v>
      </c>
      <c r="U91" s="130">
        <v>12</v>
      </c>
      <c r="V91" s="130"/>
      <c r="W91" s="130"/>
      <c r="X91" s="130">
        <v>13</v>
      </c>
      <c r="Y91" s="130">
        <v>14</v>
      </c>
      <c r="Z91" s="130">
        <v>15</v>
      </c>
      <c r="AA91" s="130">
        <v>16</v>
      </c>
      <c r="AB91" s="130">
        <v>17</v>
      </c>
      <c r="AC91" s="130">
        <v>18</v>
      </c>
      <c r="AD91" s="130">
        <v>19</v>
      </c>
      <c r="AE91" s="130">
        <v>20</v>
      </c>
      <c r="AF91" s="130">
        <v>21</v>
      </c>
      <c r="AG91" s="130">
        <v>22</v>
      </c>
      <c r="AH91" s="130">
        <v>23</v>
      </c>
      <c r="AI91" s="130">
        <v>24</v>
      </c>
      <c r="AJ91" s="130"/>
      <c r="AK91" s="130"/>
      <c r="AL91" s="130">
        <v>25</v>
      </c>
      <c r="AM91" s="130">
        <v>26</v>
      </c>
      <c r="AN91" s="130">
        <v>27</v>
      </c>
      <c r="AO91" s="130">
        <v>28</v>
      </c>
      <c r="AP91" s="130">
        <v>29</v>
      </c>
      <c r="AQ91" s="130">
        <v>30</v>
      </c>
      <c r="AR91" s="130">
        <v>31</v>
      </c>
      <c r="AS91" s="130">
        <v>32</v>
      </c>
      <c r="AT91" s="130">
        <v>33</v>
      </c>
      <c r="AU91" s="130">
        <v>34</v>
      </c>
      <c r="AV91" s="130">
        <v>35</v>
      </c>
      <c r="AW91" s="130">
        <v>36</v>
      </c>
    </row>
    <row r="92" spans="6:49" x14ac:dyDescent="0.3">
      <c r="F92" s="129" t="s">
        <v>138</v>
      </c>
      <c r="G92" s="129"/>
      <c r="H92" s="129"/>
      <c r="I92" s="131">
        <f>I74</f>
        <v>-431000</v>
      </c>
      <c r="J92" s="131">
        <f>I92+J83</f>
        <v>-431000</v>
      </c>
      <c r="K92" s="131">
        <f>J92+K83</f>
        <v>-431000</v>
      </c>
      <c r="L92" s="131">
        <f t="shared" ref="L92:U92" si="302">K92+L83</f>
        <v>-431000</v>
      </c>
      <c r="M92" s="131">
        <f t="shared" si="302"/>
        <v>-431000</v>
      </c>
      <c r="N92" s="131">
        <f t="shared" si="302"/>
        <v>-431000</v>
      </c>
      <c r="O92" s="131">
        <f t="shared" si="302"/>
        <v>-431000</v>
      </c>
      <c r="P92" s="131">
        <f t="shared" si="302"/>
        <v>-431000</v>
      </c>
      <c r="Q92" s="131">
        <f t="shared" si="302"/>
        <v>-431000</v>
      </c>
      <c r="R92" s="131">
        <f t="shared" si="302"/>
        <v>-431000</v>
      </c>
      <c r="S92" s="131">
        <f t="shared" si="302"/>
        <v>-431000</v>
      </c>
      <c r="T92" s="131">
        <f t="shared" si="302"/>
        <v>-431000</v>
      </c>
      <c r="U92" s="131">
        <f t="shared" si="302"/>
        <v>-324366.20338028169</v>
      </c>
      <c r="V92" s="129"/>
      <c r="W92" s="129"/>
      <c r="X92" s="131">
        <f>U92+X83</f>
        <v>-324366.20338028169</v>
      </c>
      <c r="Y92" s="131">
        <f>X92+Y83</f>
        <v>-324366.20338028169</v>
      </c>
      <c r="Z92" s="131">
        <f t="shared" ref="Z92:AI92" si="303">Y92+Z83</f>
        <v>-324366.20338028169</v>
      </c>
      <c r="AA92" s="131">
        <f t="shared" si="303"/>
        <v>-324366.20338028169</v>
      </c>
      <c r="AB92" s="131">
        <f t="shared" si="303"/>
        <v>-324366.20338028169</v>
      </c>
      <c r="AC92" s="131">
        <f t="shared" si="303"/>
        <v>-324366.20338028169</v>
      </c>
      <c r="AD92" s="131">
        <f t="shared" si="303"/>
        <v>-324366.20338028169</v>
      </c>
      <c r="AE92" s="131">
        <f t="shared" si="303"/>
        <v>-324366.20338028169</v>
      </c>
      <c r="AF92" s="131">
        <f t="shared" si="303"/>
        <v>-324366.20338028169</v>
      </c>
      <c r="AG92" s="131">
        <f t="shared" si="303"/>
        <v>-324366.20338028169</v>
      </c>
      <c r="AH92" s="131">
        <f t="shared" si="303"/>
        <v>-324366.20338028169</v>
      </c>
      <c r="AI92" s="131">
        <f t="shared" si="303"/>
        <v>-135510.66517605624</v>
      </c>
      <c r="AJ92" s="129"/>
      <c r="AK92" s="129"/>
      <c r="AL92" s="131">
        <f>AI92+AL83</f>
        <v>-135510.66517605624</v>
      </c>
      <c r="AM92" s="131">
        <f t="shared" ref="AM92:AW92" si="304">AL92+AM83</f>
        <v>-135510.66517605624</v>
      </c>
      <c r="AN92" s="131">
        <f t="shared" si="304"/>
        <v>-135510.66517605624</v>
      </c>
      <c r="AO92" s="131">
        <f t="shared" si="304"/>
        <v>-92015.99110972273</v>
      </c>
      <c r="AP92" s="131">
        <f t="shared" si="304"/>
        <v>-92015.99110972273</v>
      </c>
      <c r="AQ92" s="131">
        <f t="shared" si="304"/>
        <v>-92015.99110972273</v>
      </c>
      <c r="AR92" s="131">
        <f t="shared" si="304"/>
        <v>-92015.99110972273</v>
      </c>
      <c r="AS92" s="131">
        <f t="shared" si="304"/>
        <v>-46442.875608651782</v>
      </c>
      <c r="AT92" s="131">
        <f t="shared" si="304"/>
        <v>-46442.875608651782</v>
      </c>
      <c r="AU92" s="131">
        <f t="shared" si="304"/>
        <v>-46442.875608651782</v>
      </c>
      <c r="AV92" s="131">
        <f t="shared" si="304"/>
        <v>-46442.875608651782</v>
      </c>
      <c r="AW92" s="131">
        <f t="shared" si="304"/>
        <v>-940.37721830972441</v>
      </c>
    </row>
    <row r="93" spans="6:49" x14ac:dyDescent="0.3">
      <c r="F93" s="129" t="s">
        <v>143</v>
      </c>
      <c r="G93" s="129"/>
      <c r="H93" s="129"/>
      <c r="I93" s="130" t="str">
        <f>IF(I92&lt;0,"No","Si")</f>
        <v>No</v>
      </c>
      <c r="J93" s="130" t="str">
        <f t="shared" ref="J93:U93" si="305">IF(J92&lt;0,"No","Si")</f>
        <v>No</v>
      </c>
      <c r="K93" s="130" t="str">
        <f t="shared" si="305"/>
        <v>No</v>
      </c>
      <c r="L93" s="130" t="str">
        <f t="shared" si="305"/>
        <v>No</v>
      </c>
      <c r="M93" s="130" t="str">
        <f t="shared" si="305"/>
        <v>No</v>
      </c>
      <c r="N93" s="130" t="str">
        <f t="shared" si="305"/>
        <v>No</v>
      </c>
      <c r="O93" s="130" t="str">
        <f t="shared" si="305"/>
        <v>No</v>
      </c>
      <c r="P93" s="130" t="str">
        <f t="shared" si="305"/>
        <v>No</v>
      </c>
      <c r="Q93" s="130" t="str">
        <f t="shared" si="305"/>
        <v>No</v>
      </c>
      <c r="R93" s="130" t="str">
        <f t="shared" si="305"/>
        <v>No</v>
      </c>
      <c r="S93" s="130" t="str">
        <f t="shared" si="305"/>
        <v>No</v>
      </c>
      <c r="T93" s="130" t="str">
        <f t="shared" si="305"/>
        <v>No</v>
      </c>
      <c r="U93" s="130" t="str">
        <f t="shared" si="305"/>
        <v>No</v>
      </c>
      <c r="V93" s="130"/>
      <c r="W93" s="130"/>
      <c r="X93" s="130" t="str">
        <f t="shared" ref="X93" si="306">IF(X92&lt;0,"No","Si")</f>
        <v>No</v>
      </c>
      <c r="Y93" s="130" t="str">
        <f t="shared" ref="Y93" si="307">IF(Y92&lt;0,"No","Si")</f>
        <v>No</v>
      </c>
      <c r="Z93" s="130" t="str">
        <f t="shared" ref="Z93" si="308">IF(Z92&lt;0,"No","Si")</f>
        <v>No</v>
      </c>
      <c r="AA93" s="130" t="str">
        <f t="shared" ref="AA93" si="309">IF(AA92&lt;0,"No","Si")</f>
        <v>No</v>
      </c>
      <c r="AB93" s="130" t="str">
        <f t="shared" ref="AB93" si="310">IF(AB92&lt;0,"No","Si")</f>
        <v>No</v>
      </c>
      <c r="AC93" s="130" t="str">
        <f t="shared" ref="AC93" si="311">IF(AC92&lt;0,"No","Si")</f>
        <v>No</v>
      </c>
      <c r="AD93" s="130" t="str">
        <f t="shared" ref="AD93" si="312">IF(AD92&lt;0,"No","Si")</f>
        <v>No</v>
      </c>
      <c r="AE93" s="130" t="str">
        <f t="shared" ref="AE93" si="313">IF(AE92&lt;0,"No","Si")</f>
        <v>No</v>
      </c>
      <c r="AF93" s="130" t="str">
        <f t="shared" ref="AF93" si="314">IF(AF92&lt;0,"No","Si")</f>
        <v>No</v>
      </c>
      <c r="AG93" s="130" t="str">
        <f t="shared" ref="AG93" si="315">IF(AG92&lt;0,"No","Si")</f>
        <v>No</v>
      </c>
      <c r="AH93" s="130" t="str">
        <f t="shared" ref="AH93" si="316">IF(AH92&lt;0,"No","Si")</f>
        <v>No</v>
      </c>
      <c r="AI93" s="130" t="str">
        <f t="shared" ref="AI93" si="317">IF(AI92&lt;0,"No","Si")</f>
        <v>No</v>
      </c>
      <c r="AJ93" s="130"/>
      <c r="AK93" s="130"/>
      <c r="AL93" s="130" t="str">
        <f t="shared" ref="AL93" si="318">IF(AL92&lt;0,"No","Si")</f>
        <v>No</v>
      </c>
      <c r="AM93" s="130" t="str">
        <f t="shared" ref="AM93" si="319">IF(AM92&lt;0,"No","Si")</f>
        <v>No</v>
      </c>
      <c r="AN93" s="130" t="str">
        <f t="shared" ref="AN93" si="320">IF(AN92&lt;0,"No","Si")</f>
        <v>No</v>
      </c>
      <c r="AO93" s="130" t="str">
        <f t="shared" ref="AO93" si="321">IF(AO92&lt;0,"No","Si")</f>
        <v>No</v>
      </c>
      <c r="AP93" s="130" t="str">
        <f t="shared" ref="AP93" si="322">IF(AP92&lt;0,"No","Si")</f>
        <v>No</v>
      </c>
      <c r="AQ93" s="130" t="str">
        <f t="shared" ref="AQ93" si="323">IF(AQ92&lt;0,"No","Si")</f>
        <v>No</v>
      </c>
      <c r="AR93" s="130" t="str">
        <f t="shared" ref="AR93" si="324">IF(AR92&lt;0,"No","Si")</f>
        <v>No</v>
      </c>
      <c r="AS93" s="130" t="str">
        <f t="shared" ref="AS93" si="325">IF(AS92&lt;0,"No","Si")</f>
        <v>No</v>
      </c>
      <c r="AT93" s="130" t="str">
        <f t="shared" ref="AT93" si="326">IF(AT92&lt;0,"No","Si")</f>
        <v>No</v>
      </c>
      <c r="AU93" s="130" t="str">
        <f t="shared" ref="AU93" si="327">IF(AU92&lt;0,"No","Si")</f>
        <v>No</v>
      </c>
      <c r="AV93" s="130" t="str">
        <f t="shared" ref="AV93" si="328">IF(AV92&lt;0,"No","Si")</f>
        <v>No</v>
      </c>
      <c r="AW93" s="130" t="str">
        <f t="shared" ref="AW93" si="329">IF(AW92&lt;0,"No","Si")</f>
        <v>No</v>
      </c>
    </row>
    <row r="94" spans="6:49" x14ac:dyDescent="0.3">
      <c r="F94" s="129" t="s">
        <v>145</v>
      </c>
      <c r="G94" s="129"/>
      <c r="H94" s="129"/>
      <c r="I94" s="129" t="str">
        <f t="shared" ref="I94" si="330">IF(AND(H93="No",I93="Si"),"PAYBACK","")</f>
        <v/>
      </c>
      <c r="J94" s="129" t="str">
        <f t="shared" ref="J94" si="331">IF(AND(I93="No",J93="Si"),"PAYBACK","")</f>
        <v/>
      </c>
      <c r="K94" s="129" t="str">
        <f t="shared" ref="K94" si="332">IF(AND(J93="No",K93="Si"),"PAYBACK","")</f>
        <v/>
      </c>
      <c r="L94" s="129" t="str">
        <f t="shared" ref="L94" si="333">IF(AND(K93="No",L93="Si"),"PAYBACK","")</f>
        <v/>
      </c>
      <c r="M94" s="129" t="str">
        <f t="shared" ref="M94" si="334">IF(AND(L93="No",M93="Si"),"PAYBACK","")</f>
        <v/>
      </c>
      <c r="N94" s="129" t="str">
        <f t="shared" ref="N94" si="335">IF(AND(M93="No",N93="Si"),"PAYBACK","")</f>
        <v/>
      </c>
      <c r="O94" s="129" t="str">
        <f t="shared" ref="O94" si="336">IF(AND(N93="No",O93="Si"),"PAYBACK","")</f>
        <v/>
      </c>
      <c r="P94" s="129" t="str">
        <f t="shared" ref="P94" si="337">IF(AND(O93="No",P93="Si"),"PAYBACK","")</f>
        <v/>
      </c>
      <c r="Q94" s="129" t="str">
        <f t="shared" ref="Q94" si="338">IF(AND(P93="No",Q93="Si"),"PAYBACK","")</f>
        <v/>
      </c>
      <c r="R94" s="129" t="str">
        <f t="shared" ref="R94" si="339">IF(AND(Q93="No",R93="Si"),"PAYBACK","")</f>
        <v/>
      </c>
      <c r="S94" s="129" t="str">
        <f t="shared" ref="S94" si="340">IF(AND(R93="No",S93="Si"),"PAYBACK","")</f>
        <v/>
      </c>
      <c r="T94" s="129" t="str">
        <f t="shared" ref="T94" si="341">IF(AND(S93="No",T93="Si"),"PAYBACK","")</f>
        <v/>
      </c>
      <c r="U94" s="129" t="str">
        <f t="shared" ref="U94" si="342">IF(AND(T93="No",U93="Si"),"PAYBACK","")</f>
        <v/>
      </c>
      <c r="V94" s="129"/>
      <c r="W94" s="129"/>
      <c r="X94" s="129" t="str">
        <f>IF(AND(U93="No",X93="Si"),"PAYBACK","")</f>
        <v/>
      </c>
      <c r="Y94" s="129" t="str">
        <f t="shared" ref="Y94" si="343">IF(AND(X93="No",Y93="Si"),"PAYBACK","")</f>
        <v/>
      </c>
      <c r="Z94" s="129" t="str">
        <f t="shared" ref="Z94" si="344">IF(AND(Y93="No",Z93="Si"),"PAYBACK","")</f>
        <v/>
      </c>
      <c r="AA94" s="129" t="str">
        <f t="shared" ref="AA94" si="345">IF(AND(Z93="No",AA93="Si"),"PAYBACK","")</f>
        <v/>
      </c>
      <c r="AB94" s="129" t="str">
        <f t="shared" ref="AB94" si="346">IF(AND(AA93="No",AB93="Si"),"PAYBACK","")</f>
        <v/>
      </c>
      <c r="AC94" s="129" t="str">
        <f t="shared" ref="AC94" si="347">IF(AND(AB93="No",AC93="Si"),"PAYBACK","")</f>
        <v/>
      </c>
      <c r="AD94" s="129" t="str">
        <f t="shared" ref="AD94" si="348">IF(AND(AC93="No",AD93="Si"),"PAYBACK","")</f>
        <v/>
      </c>
      <c r="AE94" s="129" t="str">
        <f t="shared" ref="AE94" si="349">IF(AND(AD93="No",AE93="Si"),"PAYBACK","")</f>
        <v/>
      </c>
      <c r="AF94" s="129" t="str">
        <f t="shared" ref="AF94" si="350">IF(AND(AE93="No",AF93="Si"),"PAYBACK","")</f>
        <v/>
      </c>
      <c r="AG94" s="129" t="str">
        <f t="shared" ref="AG94" si="351">IF(AND(AF93="No",AG93="Si"),"PAYBACK","")</f>
        <v/>
      </c>
      <c r="AH94" s="129" t="str">
        <f t="shared" ref="AH94" si="352">IF(AND(AG93="No",AH93="Si"),"PAYBACK","")</f>
        <v/>
      </c>
      <c r="AI94" s="129" t="str">
        <f t="shared" ref="AI94" si="353">IF(AND(AH93="No",AI93="Si"),"PAYBACK","")</f>
        <v/>
      </c>
      <c r="AJ94" s="129"/>
      <c r="AK94" s="129"/>
      <c r="AL94" s="129" t="str">
        <f>IF(AND(AI93="No",AL93="Si"),"PAYBACK","")</f>
        <v/>
      </c>
      <c r="AM94" s="129" t="str">
        <f t="shared" ref="AM94:AN94" si="354">IF(AND(AL93="No",AM93="Si"),"PAYBACK","")</f>
        <v/>
      </c>
      <c r="AN94" s="129" t="str">
        <f t="shared" si="354"/>
        <v/>
      </c>
      <c r="AO94" s="130" t="str">
        <f>IF(AND(AN93="No",AO93="Si"),"PAYBACK","")</f>
        <v/>
      </c>
      <c r="AP94" s="129" t="str">
        <f t="shared" ref="AP94:AW94" si="355">IF(AND(AO93="No",AP93="Si"),"PAYBACK","")</f>
        <v/>
      </c>
      <c r="AQ94" s="129" t="str">
        <f t="shared" si="355"/>
        <v/>
      </c>
      <c r="AR94" s="129" t="str">
        <f t="shared" si="355"/>
        <v/>
      </c>
      <c r="AS94" s="129" t="str">
        <f t="shared" si="355"/>
        <v/>
      </c>
      <c r="AT94" s="129" t="str">
        <f t="shared" si="355"/>
        <v/>
      </c>
      <c r="AU94" s="129" t="str">
        <f t="shared" si="355"/>
        <v/>
      </c>
      <c r="AV94" s="129" t="str">
        <f t="shared" si="355"/>
        <v/>
      </c>
      <c r="AW94" s="129" t="str">
        <f t="shared" si="355"/>
        <v/>
      </c>
    </row>
    <row r="97" spans="6:22" ht="22.95" customHeight="1" x14ac:dyDescent="0.3">
      <c r="F97" s="143" t="s">
        <v>200</v>
      </c>
      <c r="G97" s="144"/>
      <c r="H97" s="144"/>
      <c r="I97" s="144"/>
      <c r="J97" s="144"/>
      <c r="K97" s="144"/>
      <c r="L97" s="144"/>
      <c r="M97" s="144"/>
      <c r="N97" s="144"/>
      <c r="O97" s="144"/>
      <c r="P97" s="144"/>
      <c r="Q97" s="144"/>
      <c r="R97" s="144"/>
      <c r="S97" s="144"/>
      <c r="T97" s="144"/>
      <c r="U97" s="144"/>
      <c r="V97" s="144"/>
    </row>
    <row r="99" spans="6:22" x14ac:dyDescent="0.3">
      <c r="F99" s="108"/>
      <c r="G99" s="109"/>
      <c r="H99" s="109"/>
      <c r="I99" s="109"/>
      <c r="J99" s="109"/>
      <c r="K99" s="109"/>
      <c r="L99" s="109"/>
      <c r="M99" s="110"/>
      <c r="O99" s="136"/>
      <c r="P99" s="16"/>
      <c r="Q99" s="16"/>
      <c r="R99" s="16"/>
      <c r="S99" s="16"/>
      <c r="T99" s="16"/>
      <c r="U99" s="16"/>
      <c r="V99" s="137"/>
    </row>
    <row r="100" spans="6:22" x14ac:dyDescent="0.3">
      <c r="F100" s="145"/>
      <c r="G100" s="2" t="s">
        <v>139</v>
      </c>
      <c r="H100" s="3"/>
      <c r="I100" s="3"/>
      <c r="J100" s="112"/>
      <c r="K100" s="112"/>
      <c r="L100" s="112"/>
      <c r="M100" s="113"/>
      <c r="O100" s="145"/>
      <c r="P100" s="2" t="s">
        <v>194</v>
      </c>
      <c r="Q100" s="3"/>
      <c r="R100" s="3"/>
      <c r="V100" s="139"/>
    </row>
    <row r="101" spans="6:22" x14ac:dyDescent="0.3">
      <c r="F101" s="146"/>
      <c r="G101" s="147"/>
      <c r="H101" s="148"/>
      <c r="I101" s="148"/>
      <c r="J101" s="112"/>
      <c r="K101" s="112"/>
      <c r="L101" s="112"/>
      <c r="M101" s="113"/>
      <c r="O101" s="146"/>
      <c r="P101" s="147"/>
      <c r="Q101" s="148"/>
      <c r="R101" s="148"/>
      <c r="V101" s="139"/>
    </row>
    <row r="102" spans="6:22" x14ac:dyDescent="0.3">
      <c r="F102" s="111"/>
      <c r="G102" s="112"/>
      <c r="H102" s="161" t="s">
        <v>15</v>
      </c>
      <c r="I102" s="161"/>
      <c r="J102" s="161"/>
      <c r="K102" s="161"/>
      <c r="L102" s="161"/>
      <c r="M102" s="113"/>
      <c r="O102" s="138"/>
      <c r="Q102" s="159" t="s">
        <v>195</v>
      </c>
      <c r="R102" s="159"/>
      <c r="S102" s="159"/>
      <c r="T102" s="159"/>
      <c r="U102" s="159"/>
      <c r="V102" s="139"/>
    </row>
    <row r="103" spans="6:22" x14ac:dyDescent="0.3">
      <c r="F103" s="111"/>
      <c r="G103" s="114">
        <f>C35</f>
        <v>399459.45459458861</v>
      </c>
      <c r="H103" s="115">
        <v>20000</v>
      </c>
      <c r="I103" s="115">
        <v>25000</v>
      </c>
      <c r="J103" s="115">
        <v>30000</v>
      </c>
      <c r="K103" s="115">
        <v>35000</v>
      </c>
      <c r="L103" s="115">
        <v>40000</v>
      </c>
      <c r="M103" s="113"/>
      <c r="O103" s="138"/>
      <c r="P103" s="141">
        <f>C35</f>
        <v>399459.45459458861</v>
      </c>
      <c r="Q103" s="115">
        <v>45000000</v>
      </c>
      <c r="R103" s="115">
        <v>50000000</v>
      </c>
      <c r="S103" s="115">
        <v>55000000</v>
      </c>
      <c r="T103" s="115">
        <v>60000000</v>
      </c>
      <c r="U103" s="115">
        <v>65000000</v>
      </c>
      <c r="V103" s="139"/>
    </row>
    <row r="104" spans="6:22" ht="16.95" customHeight="1" x14ac:dyDescent="0.3">
      <c r="F104" s="160" t="s">
        <v>141</v>
      </c>
      <c r="G104" s="116">
        <v>0.8</v>
      </c>
      <c r="H104" s="117">
        <f t="dataTable" ref="H104:L110" dt2D="1" dtr="1" r1="C6" r2="C4" ca="1"/>
        <v>-431000</v>
      </c>
      <c r="I104" s="117">
        <v>-431000</v>
      </c>
      <c r="J104" s="117">
        <v>-431000</v>
      </c>
      <c r="K104" s="117">
        <v>-59993.559556511107</v>
      </c>
      <c r="L104" s="117">
        <v>470672.10910892999</v>
      </c>
      <c r="M104" s="113"/>
      <c r="O104" s="158" t="s">
        <v>196</v>
      </c>
      <c r="P104" s="116">
        <v>0.27</v>
      </c>
      <c r="Q104" s="140">
        <f t="dataTable" ref="Q104:U115" dt2D="1" dtr="1" r1="C18" r2="C8"/>
        <v>1631535.2399584583</v>
      </c>
      <c r="R104" s="140">
        <v>1430667.5974460598</v>
      </c>
      <c r="S104" s="140">
        <v>1229799.9549336617</v>
      </c>
      <c r="T104" s="140">
        <v>1028781.3923793968</v>
      </c>
      <c r="U104" s="140">
        <v>827696.89494239632</v>
      </c>
      <c r="V104" s="139"/>
    </row>
    <row r="105" spans="6:22" x14ac:dyDescent="0.3">
      <c r="F105" s="160"/>
      <c r="G105" s="116">
        <v>0.85</v>
      </c>
      <c r="H105" s="117">
        <v>-431000</v>
      </c>
      <c r="I105" s="117">
        <v>-431000</v>
      </c>
      <c r="J105" s="117">
        <v>-334607.50532037218</v>
      </c>
      <c r="K105" s="117">
        <v>149229.55991987092</v>
      </c>
      <c r="L105" s="117">
        <v>755522.72716629587</v>
      </c>
      <c r="M105" s="113"/>
      <c r="O105" s="158"/>
      <c r="P105" s="116">
        <v>0.28000000000000003</v>
      </c>
      <c r="Q105" s="140">
        <v>1541710.9292134072</v>
      </c>
      <c r="R105" s="140">
        <v>1340843.2867010094</v>
      </c>
      <c r="S105" s="140">
        <v>1139962.7558471393</v>
      </c>
      <c r="T105" s="140">
        <v>938878.25841013854</v>
      </c>
      <c r="U105" s="140">
        <v>737793.76097313804</v>
      </c>
      <c r="V105" s="139"/>
    </row>
    <row r="106" spans="6:22" ht="15" customHeight="1" x14ac:dyDescent="0.3">
      <c r="F106" s="160"/>
      <c r="G106" s="116">
        <v>0.9</v>
      </c>
      <c r="H106" s="117">
        <v>-431000</v>
      </c>
      <c r="I106" s="117">
        <v>-431000</v>
      </c>
      <c r="J106" s="117">
        <v>-174447.66786155946</v>
      </c>
      <c r="K106" s="117">
        <v>399459.45459458866</v>
      </c>
      <c r="L106" s="117">
        <v>1040373.3452236619</v>
      </c>
      <c r="M106" s="113"/>
      <c r="O106" s="158"/>
      <c r="P106" s="116">
        <v>0.28999999999999998</v>
      </c>
      <c r="Q106" s="140">
        <v>1451886.6184683577</v>
      </c>
      <c r="R106" s="140">
        <v>1251018.9759559587</v>
      </c>
      <c r="S106" s="140">
        <v>1050059.6218778805</v>
      </c>
      <c r="T106" s="140">
        <v>848975.12444088014</v>
      </c>
      <c r="U106" s="140">
        <v>647890.62700387975</v>
      </c>
      <c r="V106" s="139"/>
    </row>
    <row r="107" spans="6:22" ht="15" thickBot="1" x14ac:dyDescent="0.35">
      <c r="F107" s="160"/>
      <c r="G107" s="116">
        <v>0.95</v>
      </c>
      <c r="H107" s="117">
        <v>-431000</v>
      </c>
      <c r="I107" s="117">
        <v>-431000</v>
      </c>
      <c r="J107" s="117">
        <v>-1451.6511478884349</v>
      </c>
      <c r="K107" s="117">
        <v>648703.74539478356</v>
      </c>
      <c r="L107" s="117">
        <v>1325097.1252947329</v>
      </c>
      <c r="M107" s="113"/>
      <c r="O107" s="158"/>
      <c r="P107" s="116">
        <v>0.3</v>
      </c>
      <c r="Q107" s="140">
        <v>1362062.3077233077</v>
      </c>
      <c r="R107" s="140">
        <v>1161194.665210909</v>
      </c>
      <c r="S107" s="140">
        <v>960156.48790862213</v>
      </c>
      <c r="T107" s="140">
        <v>759071.99047162174</v>
      </c>
      <c r="U107" s="140">
        <v>557987.49303462135</v>
      </c>
      <c r="V107" s="139"/>
    </row>
    <row r="108" spans="6:22" ht="15" thickBot="1" x14ac:dyDescent="0.35">
      <c r="F108" s="160"/>
      <c r="G108" s="116">
        <v>1</v>
      </c>
      <c r="H108" s="117">
        <v>-431000</v>
      </c>
      <c r="I108" s="117">
        <v>-388024.48843692854</v>
      </c>
      <c r="J108" s="117">
        <v>185100.29381859861</v>
      </c>
      <c r="K108" s="149">
        <v>897948.03619497863</v>
      </c>
      <c r="L108" s="117">
        <v>1609692.50624514</v>
      </c>
      <c r="M108" s="113"/>
      <c r="O108" s="158"/>
      <c r="P108" s="116">
        <v>0.31</v>
      </c>
      <c r="Q108" s="140">
        <v>1272237.9969782569</v>
      </c>
      <c r="R108" s="140">
        <v>1071337.851376364</v>
      </c>
      <c r="S108" s="140">
        <v>870253.35393936385</v>
      </c>
      <c r="T108" s="140">
        <v>669168.85650236369</v>
      </c>
      <c r="U108" s="140">
        <v>468084.35906536307</v>
      </c>
      <c r="V108" s="139"/>
    </row>
    <row r="109" spans="6:22" x14ac:dyDescent="0.3">
      <c r="F109" s="160"/>
      <c r="G109" s="116">
        <v>1.05</v>
      </c>
      <c r="H109" s="117">
        <v>-431000</v>
      </c>
      <c r="I109" s="117">
        <v>-254482.03064553731</v>
      </c>
      <c r="J109" s="117">
        <v>399459.45459458849</v>
      </c>
      <c r="K109" s="117">
        <v>1147192.3269951742</v>
      </c>
      <c r="L109" s="117">
        <v>1894287.8871955464</v>
      </c>
      <c r="M109" s="113"/>
      <c r="O109" s="158"/>
      <c r="P109" s="116">
        <v>0.32</v>
      </c>
      <c r="Q109" s="140">
        <v>1182413.6862332064</v>
      </c>
      <c r="R109" s="140">
        <v>981434.71740710549</v>
      </c>
      <c r="S109" s="140">
        <v>780350.21997010568</v>
      </c>
      <c r="T109" s="140">
        <v>579265.72253310517</v>
      </c>
      <c r="U109" s="140">
        <v>378181.22509610478</v>
      </c>
      <c r="V109" s="139"/>
    </row>
    <row r="110" spans="6:22" ht="15" thickBot="1" x14ac:dyDescent="0.35">
      <c r="F110" s="160"/>
      <c r="G110" s="116">
        <v>1.1000000000000001</v>
      </c>
      <c r="H110" s="117">
        <v>-431000</v>
      </c>
      <c r="I110" s="117">
        <v>-118959.39109180827</v>
      </c>
      <c r="J110" s="117">
        <v>613097.41813761345</v>
      </c>
      <c r="K110" s="117">
        <v>1396245.9705323351</v>
      </c>
      <c r="L110" s="117">
        <v>2178883.2681459533</v>
      </c>
      <c r="M110" s="113"/>
      <c r="O110" s="158"/>
      <c r="P110" s="116">
        <v>0.33</v>
      </c>
      <c r="Q110" s="140">
        <v>1092589.3754881562</v>
      </c>
      <c r="R110" s="140">
        <v>891531.58343784721</v>
      </c>
      <c r="S110" s="140">
        <v>690447.0860008474</v>
      </c>
      <c r="T110" s="140">
        <v>489362.58856384695</v>
      </c>
      <c r="U110" s="140">
        <v>288085.08578424528</v>
      </c>
      <c r="V110" s="139"/>
    </row>
    <row r="111" spans="6:22" ht="15" thickBot="1" x14ac:dyDescent="0.35">
      <c r="F111" s="111"/>
      <c r="G111" s="112"/>
      <c r="H111" s="112"/>
      <c r="I111" s="112"/>
      <c r="J111" s="112"/>
      <c r="K111" s="112"/>
      <c r="L111" s="112"/>
      <c r="M111" s="113"/>
      <c r="O111" s="158"/>
      <c r="P111" s="116">
        <v>0.34</v>
      </c>
      <c r="Q111" s="140">
        <v>1002712.9469055894</v>
      </c>
      <c r="R111" s="140">
        <v>801628.44946858892</v>
      </c>
      <c r="S111" s="140">
        <v>600543.952031589</v>
      </c>
      <c r="T111" s="150">
        <v>399459.45459458861</v>
      </c>
      <c r="U111" s="140">
        <v>197528.71187702328</v>
      </c>
      <c r="V111" s="139"/>
    </row>
    <row r="112" spans="6:22" x14ac:dyDescent="0.3">
      <c r="F112" s="118"/>
      <c r="G112" s="19"/>
      <c r="H112" s="19"/>
      <c r="I112" s="19"/>
      <c r="J112" s="19"/>
      <c r="K112" s="19"/>
      <c r="L112" s="19"/>
      <c r="M112" s="119"/>
      <c r="O112" s="158"/>
      <c r="P112" s="116">
        <v>0.35</v>
      </c>
      <c r="Q112" s="140">
        <v>912809.81293633115</v>
      </c>
      <c r="R112" s="140">
        <v>711725.31549933064</v>
      </c>
      <c r="S112" s="140">
        <v>510640.81806233077</v>
      </c>
      <c r="T112" s="140">
        <v>309496.10924964276</v>
      </c>
      <c r="U112" s="140">
        <v>114580.15640845333</v>
      </c>
      <c r="V112" s="139"/>
    </row>
    <row r="113" spans="15:22" x14ac:dyDescent="0.3">
      <c r="O113" s="158"/>
      <c r="P113" s="116">
        <v>0.36</v>
      </c>
      <c r="Q113" s="140">
        <v>822906.67896707286</v>
      </c>
      <c r="R113" s="140">
        <v>621822.18153007235</v>
      </c>
      <c r="S113" s="140">
        <v>420737.68409307237</v>
      </c>
      <c r="T113" s="140">
        <v>219211.94939651949</v>
      </c>
      <c r="U113" s="140">
        <v>41307.535503205145</v>
      </c>
      <c r="V113" s="139"/>
    </row>
    <row r="114" spans="15:22" x14ac:dyDescent="0.3">
      <c r="O114" s="158"/>
      <c r="P114" s="116">
        <v>0.37</v>
      </c>
      <c r="Q114" s="140">
        <v>733003.54499781434</v>
      </c>
      <c r="R114" s="140">
        <v>531919.04756081407</v>
      </c>
      <c r="S114" s="140">
        <v>330804.69544591889</v>
      </c>
      <c r="T114" s="140">
        <v>128655.57548929731</v>
      </c>
      <c r="U114" s="140">
        <v>-32315.727585037068</v>
      </c>
      <c r="V114" s="139"/>
    </row>
    <row r="115" spans="15:22" x14ac:dyDescent="0.3">
      <c r="O115" s="158"/>
      <c r="P115" s="116">
        <v>0.38</v>
      </c>
      <c r="Q115" s="140">
        <v>643100.41102855594</v>
      </c>
      <c r="R115" s="140">
        <v>442015.91359155579</v>
      </c>
      <c r="S115" s="140">
        <v>240808.31236325565</v>
      </c>
      <c r="T115" s="140">
        <v>53949.487764522361</v>
      </c>
      <c r="U115" s="140">
        <v>-106524.28446070521</v>
      </c>
      <c r="V115" s="139"/>
    </row>
    <row r="116" spans="15:22" x14ac:dyDescent="0.3">
      <c r="O116" s="118"/>
      <c r="P116" s="19"/>
      <c r="Q116" s="19"/>
      <c r="R116" s="19"/>
      <c r="S116" s="19"/>
      <c r="T116" s="19"/>
      <c r="U116" s="19"/>
      <c r="V116" s="119"/>
    </row>
  </sheetData>
  <mergeCells count="5">
    <mergeCell ref="A1:D2"/>
    <mergeCell ref="O104:O115"/>
    <mergeCell ref="Q102:U102"/>
    <mergeCell ref="F104:F110"/>
    <mergeCell ref="H102:L102"/>
  </mergeCells>
  <conditionalFormatting sqref="H104:L110">
    <cfRule type="colorScale" priority="1">
      <colorScale>
        <cfvo type="min"/>
        <cfvo type="num" val="0"/>
        <cfvo type="max"/>
        <color rgb="FFFF0000"/>
        <color rgb="FFFFEB84"/>
        <color theme="9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1:U81">
    <cfRule type="containsText" dxfId="8" priority="12" operator="containsText" text="Si">
      <formula>NOT(ISERROR(SEARCH("Si",J81)))</formula>
    </cfRule>
    <cfRule type="containsText" dxfId="7" priority="13" operator="containsText" text="No">
      <formula>NOT(ISERROR(SEARCH("No",J81)))</formula>
    </cfRule>
  </conditionalFormatting>
  <conditionalFormatting sqref="J83:U83">
    <cfRule type="cellIs" dxfId="6" priority="11" operator="greaterThan">
      <formula>0</formula>
    </cfRule>
  </conditionalFormatting>
  <conditionalFormatting sqref="Q104:U115">
    <cfRule type="colorScale" priority="2">
      <colorScale>
        <cfvo type="min"/>
        <cfvo type="num" val="0"/>
        <cfvo type="max"/>
        <color rgb="FFC00000"/>
        <color rgb="FFFFEB84"/>
        <color theme="9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81:AI81">
    <cfRule type="containsText" dxfId="5" priority="9" operator="containsText" text="Si">
      <formula>NOT(ISERROR(SEARCH("Si",X81)))</formula>
    </cfRule>
    <cfRule type="containsText" dxfId="4" priority="10" operator="containsText" text="No">
      <formula>NOT(ISERROR(SEARCH("No",X81)))</formula>
    </cfRule>
  </conditionalFormatting>
  <conditionalFormatting sqref="X83:AI83">
    <cfRule type="cellIs" dxfId="3" priority="8" operator="greaterThan">
      <formula>0</formula>
    </cfRule>
  </conditionalFormatting>
  <conditionalFormatting sqref="AL81:AW81">
    <cfRule type="containsText" dxfId="2" priority="5" operator="containsText" text="Si">
      <formula>NOT(ISERROR(SEARCH("Si",AL81)))</formula>
    </cfRule>
    <cfRule type="containsText" dxfId="1" priority="6" operator="containsText" text="No">
      <formula>NOT(ISERROR(SEARCH("No",AL81)))</formula>
    </cfRule>
  </conditionalFormatting>
  <conditionalFormatting sqref="AL83:AW83">
    <cfRule type="cellIs" dxfId="0" priority="4" operator="greater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7ECF-11F3-A34A-BB09-2EEFC9DF5E2E}">
  <dimension ref="B1:S47"/>
  <sheetViews>
    <sheetView showGridLines="0" tabSelected="1" zoomScale="55" zoomScaleNormal="55" workbookViewId="0">
      <selection activeCell="D32" sqref="D32"/>
    </sheetView>
  </sheetViews>
  <sheetFormatPr baseColWidth="10" defaultColWidth="10.77734375" defaultRowHeight="15.6" x14ac:dyDescent="0.3"/>
  <cols>
    <col min="1" max="2" width="10.77734375" style="52"/>
    <col min="3" max="3" width="48.6640625" style="52" bestFit="1" customWidth="1"/>
    <col min="4" max="4" width="10.77734375" style="52"/>
    <col min="5" max="5" width="17.109375" style="52" bestFit="1" customWidth="1"/>
    <col min="6" max="7" width="18.77734375" style="52" bestFit="1" customWidth="1"/>
    <col min="8" max="8" width="17.109375" style="52" bestFit="1" customWidth="1"/>
    <col min="9" max="15" width="17.109375" style="52" customWidth="1"/>
    <col min="16" max="16" width="16.44140625" style="52" customWidth="1"/>
    <col min="17" max="18" width="10.77734375" style="52"/>
    <col min="19" max="19" width="17" style="52" customWidth="1"/>
    <col min="20" max="16384" width="10.77734375" style="52"/>
  </cols>
  <sheetData>
    <row r="1" spans="2:19" x14ac:dyDescent="0.3">
      <c r="E1" s="155">
        <v>0</v>
      </c>
      <c r="F1" s="53">
        <v>1</v>
      </c>
      <c r="G1" s="53">
        <v>2</v>
      </c>
      <c r="H1" s="53">
        <v>3</v>
      </c>
      <c r="I1" s="53">
        <v>4</v>
      </c>
      <c r="J1" s="53">
        <v>5</v>
      </c>
      <c r="K1" s="53">
        <v>6</v>
      </c>
      <c r="L1" s="53">
        <v>7</v>
      </c>
      <c r="M1" s="53">
        <v>8</v>
      </c>
      <c r="N1" s="53">
        <v>9</v>
      </c>
      <c r="O1" s="53">
        <v>10</v>
      </c>
    </row>
    <row r="3" spans="2:19" x14ac:dyDescent="0.3">
      <c r="B3" s="52" t="s">
        <v>50</v>
      </c>
      <c r="E3" s="52">
        <v>1420</v>
      </c>
      <c r="F3" s="52">
        <v>1420</v>
      </c>
      <c r="G3" s="52">
        <v>1420</v>
      </c>
      <c r="H3" s="52">
        <v>1420</v>
      </c>
      <c r="I3" s="52">
        <v>1420</v>
      </c>
      <c r="J3" s="52">
        <v>1420</v>
      </c>
      <c r="K3" s="52">
        <v>1420</v>
      </c>
      <c r="L3" s="52">
        <v>1420</v>
      </c>
      <c r="M3" s="52">
        <v>1420</v>
      </c>
      <c r="N3" s="52">
        <v>1420</v>
      </c>
      <c r="O3" s="52">
        <v>1420</v>
      </c>
    </row>
    <row r="4" spans="2:19" x14ac:dyDescent="0.3">
      <c r="B4" s="57" t="s">
        <v>94</v>
      </c>
      <c r="C4" s="57"/>
      <c r="D4" s="57"/>
      <c r="E4" s="59">
        <v>0.05</v>
      </c>
      <c r="F4" s="59">
        <v>0.03</v>
      </c>
      <c r="G4" s="59">
        <v>0.01</v>
      </c>
      <c r="H4" s="59">
        <v>0.01</v>
      </c>
      <c r="I4" s="59">
        <v>0.01</v>
      </c>
      <c r="J4" s="59">
        <v>0.01</v>
      </c>
      <c r="K4" s="59">
        <v>0.01</v>
      </c>
      <c r="L4" s="59">
        <v>0.01</v>
      </c>
      <c r="M4" s="59">
        <v>0.01</v>
      </c>
      <c r="N4" s="59">
        <v>0.01</v>
      </c>
      <c r="O4" s="59">
        <v>0.01</v>
      </c>
      <c r="P4" s="59">
        <v>0.01</v>
      </c>
    </row>
    <row r="5" spans="2:19" x14ac:dyDescent="0.3">
      <c r="B5" s="57" t="s">
        <v>95</v>
      </c>
      <c r="C5" s="57"/>
      <c r="D5" s="57"/>
      <c r="E5" s="60">
        <f>+(1-H26)*D26+H26*D24*(1-H27)</f>
        <v>0.22808943999999998</v>
      </c>
      <c r="F5" s="60">
        <f t="shared" ref="F5:P5" si="0">$D$30+($H$25*($D$33+F4+$D$36+$D$37))</f>
        <v>0.17855344000000001</v>
      </c>
      <c r="G5" s="60">
        <f t="shared" si="0"/>
        <v>0.16309744000000001</v>
      </c>
      <c r="H5" s="60">
        <f t="shared" si="0"/>
        <v>0.16309744000000001</v>
      </c>
      <c r="I5" s="60">
        <f>$D$30+($H$25*($D$33+I4+$D$36+$D$37))</f>
        <v>0.16309744000000001</v>
      </c>
      <c r="J5" s="60">
        <f t="shared" si="0"/>
        <v>0.16309744000000001</v>
      </c>
      <c r="K5" s="60">
        <f t="shared" si="0"/>
        <v>0.16309744000000001</v>
      </c>
      <c r="L5" s="60">
        <f t="shared" si="0"/>
        <v>0.16309744000000001</v>
      </c>
      <c r="M5" s="60">
        <f t="shared" si="0"/>
        <v>0.16309744000000001</v>
      </c>
      <c r="N5" s="60">
        <f t="shared" si="0"/>
        <v>0.16309744000000001</v>
      </c>
      <c r="O5" s="60">
        <f t="shared" si="0"/>
        <v>0.16309744000000001</v>
      </c>
      <c r="P5" s="60">
        <f t="shared" si="0"/>
        <v>0.16309744000000001</v>
      </c>
    </row>
    <row r="6" spans="2:19" ht="21.6" thickBot="1" x14ac:dyDescent="0.45">
      <c r="B6" s="54" t="s">
        <v>52</v>
      </c>
      <c r="C6" s="55"/>
      <c r="D6" s="55" t="s">
        <v>53</v>
      </c>
      <c r="E6" s="55" t="s">
        <v>83</v>
      </c>
      <c r="F6" s="55" t="s">
        <v>84</v>
      </c>
      <c r="G6" s="55" t="s">
        <v>85</v>
      </c>
      <c r="H6" s="55" t="s">
        <v>86</v>
      </c>
      <c r="I6" s="55" t="s">
        <v>87</v>
      </c>
      <c r="J6" s="55" t="s">
        <v>88</v>
      </c>
      <c r="K6" s="55" t="s">
        <v>89</v>
      </c>
      <c r="L6" s="55" t="s">
        <v>90</v>
      </c>
      <c r="M6" s="55" t="s">
        <v>91</v>
      </c>
      <c r="N6" s="55" t="s">
        <v>92</v>
      </c>
      <c r="O6" s="55" t="s">
        <v>93</v>
      </c>
      <c r="P6" s="55" t="s">
        <v>96</v>
      </c>
    </row>
    <row r="7" spans="2:19" x14ac:dyDescent="0.3">
      <c r="B7" s="52" t="s">
        <v>54</v>
      </c>
      <c r="D7" s="52" t="s">
        <v>55</v>
      </c>
      <c r="F7" s="58">
        <f>SUM('EERR Mensual'!J62:U62)</f>
        <v>128548.24151936623</v>
      </c>
      <c r="G7" s="58">
        <f>SUM('EERR Mensual'!X62:AI62)</f>
        <v>256260.50605633814</v>
      </c>
      <c r="H7" s="58">
        <f t="shared" ref="H7:O8" si="1">G7</f>
        <v>256260.50605633814</v>
      </c>
      <c r="I7" s="58">
        <f t="shared" si="1"/>
        <v>256260.50605633814</v>
      </c>
      <c r="J7" s="58">
        <f t="shared" si="1"/>
        <v>256260.50605633814</v>
      </c>
      <c r="K7" s="58">
        <f t="shared" si="1"/>
        <v>256260.50605633814</v>
      </c>
      <c r="L7" s="58">
        <f t="shared" si="1"/>
        <v>256260.50605633814</v>
      </c>
      <c r="M7" s="58">
        <f t="shared" si="1"/>
        <v>256260.50605633814</v>
      </c>
      <c r="N7" s="58">
        <f t="shared" si="1"/>
        <v>256260.50605633814</v>
      </c>
      <c r="O7" s="58">
        <f t="shared" si="1"/>
        <v>256260.50605633814</v>
      </c>
      <c r="P7" s="58">
        <f>O7*(1+S10)</f>
        <v>263948.32123802829</v>
      </c>
      <c r="R7" s="63" t="s">
        <v>97</v>
      </c>
      <c r="S7" s="64">
        <v>0.1</v>
      </c>
    </row>
    <row r="8" spans="2:19" x14ac:dyDescent="0.3">
      <c r="B8" s="65" t="s">
        <v>65</v>
      </c>
      <c r="C8" s="66"/>
      <c r="D8" s="66" t="s">
        <v>55</v>
      </c>
      <c r="E8" s="67">
        <f>'EERR Mensual'!I74</f>
        <v>-431000</v>
      </c>
      <c r="F8" s="67">
        <f>'EERR Mensual'!U83</f>
        <v>106633.79661971834</v>
      </c>
      <c r="G8" s="67">
        <f>'EERR Mensual'!AI83</f>
        <v>188855.53820422545</v>
      </c>
      <c r="H8" s="67">
        <f t="shared" si="1"/>
        <v>188855.53820422545</v>
      </c>
      <c r="I8" s="67">
        <f t="shared" si="1"/>
        <v>188855.53820422545</v>
      </c>
      <c r="J8" s="67">
        <f t="shared" si="1"/>
        <v>188855.53820422545</v>
      </c>
      <c r="K8" s="67">
        <f t="shared" si="1"/>
        <v>188855.53820422545</v>
      </c>
      <c r="L8" s="67">
        <f t="shared" si="1"/>
        <v>188855.53820422545</v>
      </c>
      <c r="M8" s="67">
        <f t="shared" si="1"/>
        <v>188855.53820422545</v>
      </c>
      <c r="N8" s="67">
        <f t="shared" si="1"/>
        <v>188855.53820422545</v>
      </c>
      <c r="O8" s="67">
        <f t="shared" si="1"/>
        <v>188855.53820422545</v>
      </c>
      <c r="P8" s="58">
        <f>P7*(1-S8)</f>
        <v>184763.82486661981</v>
      </c>
      <c r="R8" s="52" t="s">
        <v>98</v>
      </c>
      <c r="S8" s="56">
        <f>S10/S7</f>
        <v>0.3</v>
      </c>
    </row>
    <row r="9" spans="2:19" x14ac:dyDescent="0.3">
      <c r="B9" s="52" t="s">
        <v>100</v>
      </c>
      <c r="D9" s="62" t="s">
        <v>55</v>
      </c>
      <c r="H9" s="58"/>
      <c r="I9" s="58"/>
      <c r="J9" s="58"/>
      <c r="K9" s="58"/>
      <c r="L9" s="58"/>
      <c r="M9" s="58"/>
      <c r="N9" s="58"/>
      <c r="O9" s="58">
        <f>IF(F14="Si",P8/(P5-S10),0)</f>
        <v>0</v>
      </c>
    </row>
    <row r="10" spans="2:19" x14ac:dyDescent="0.3">
      <c r="B10" s="65" t="s">
        <v>101</v>
      </c>
      <c r="C10" s="66"/>
      <c r="D10" s="66" t="s">
        <v>55</v>
      </c>
      <c r="E10" s="67">
        <f t="shared" ref="E10:O10" si="2">E8+E9</f>
        <v>-431000</v>
      </c>
      <c r="F10" s="67">
        <f t="shared" si="2"/>
        <v>106633.79661971834</v>
      </c>
      <c r="G10" s="67">
        <f t="shared" si="2"/>
        <v>188855.53820422545</v>
      </c>
      <c r="H10" s="67">
        <f t="shared" si="2"/>
        <v>188855.53820422545</v>
      </c>
      <c r="I10" s="67">
        <f t="shared" si="2"/>
        <v>188855.53820422545</v>
      </c>
      <c r="J10" s="67">
        <f t="shared" si="2"/>
        <v>188855.53820422545</v>
      </c>
      <c r="K10" s="67">
        <f t="shared" si="2"/>
        <v>188855.53820422545</v>
      </c>
      <c r="L10" s="67">
        <f t="shared" si="2"/>
        <v>188855.53820422545</v>
      </c>
      <c r="M10" s="67">
        <f t="shared" si="2"/>
        <v>188855.53820422545</v>
      </c>
      <c r="N10" s="67">
        <f t="shared" si="2"/>
        <v>188855.53820422545</v>
      </c>
      <c r="O10" s="67">
        <f t="shared" si="2"/>
        <v>188855.53820422545</v>
      </c>
      <c r="R10" s="68" t="s">
        <v>99</v>
      </c>
      <c r="S10" s="69">
        <f>[1]DASHBOARD!C8</f>
        <v>0.03</v>
      </c>
    </row>
    <row r="11" spans="2:19" x14ac:dyDescent="0.3">
      <c r="B11" s="52" t="s">
        <v>102</v>
      </c>
      <c r="D11" s="62" t="s">
        <v>55</v>
      </c>
      <c r="E11" s="70">
        <f>1/(1+$E$5)^0</f>
        <v>1</v>
      </c>
      <c r="F11" s="70">
        <f>1/(1+F5)^F1</f>
        <v>0.8484977991324687</v>
      </c>
      <c r="G11" s="70">
        <f t="shared" ref="G11:O11" si="3">1/(1+G5)^G1</f>
        <v>0.7392099437578239</v>
      </c>
      <c r="H11" s="70">
        <f t="shared" si="3"/>
        <v>0.63555289379523006</v>
      </c>
      <c r="I11" s="70">
        <f>1/(1+I5)^I1</f>
        <v>0.54643134095044521</v>
      </c>
      <c r="J11" s="70">
        <f t="shared" si="3"/>
        <v>0.46980701887749426</v>
      </c>
      <c r="K11" s="70">
        <f t="shared" si="3"/>
        <v>0.40392748081149094</v>
      </c>
      <c r="L11" s="70">
        <f t="shared" si="3"/>
        <v>0.34728602000146347</v>
      </c>
      <c r="M11" s="70">
        <f t="shared" si="3"/>
        <v>0.2985872103729017</v>
      </c>
      <c r="N11" s="70">
        <f t="shared" si="3"/>
        <v>0.25671727931316035</v>
      </c>
      <c r="O11" s="70">
        <f t="shared" si="3"/>
        <v>0.22071863498655825</v>
      </c>
    </row>
    <row r="12" spans="2:19" x14ac:dyDescent="0.3">
      <c r="B12" s="66" t="s">
        <v>103</v>
      </c>
      <c r="C12" s="66"/>
      <c r="D12" s="66" t="s">
        <v>55</v>
      </c>
      <c r="E12" s="71">
        <f t="shared" ref="E12:O12" si="4">E10*E11</f>
        <v>-431000</v>
      </c>
      <c r="F12" s="67">
        <f t="shared" si="4"/>
        <v>90478.541744970295</v>
      </c>
      <c r="G12" s="67">
        <f t="shared" si="4"/>
        <v>139603.89177429906</v>
      </c>
      <c r="H12" s="67">
        <f t="shared" si="4"/>
        <v>120027.68381495112</v>
      </c>
      <c r="I12" s="67">
        <f t="shared" si="4"/>
        <v>103196.58498685295</v>
      </c>
      <c r="J12" s="67">
        <f t="shared" si="4"/>
        <v>88725.657402231882</v>
      </c>
      <c r="K12" s="67">
        <f t="shared" si="4"/>
        <v>76283.941784131064</v>
      </c>
      <c r="L12" s="67">
        <f t="shared" si="4"/>
        <v>65586.888218179782</v>
      </c>
      <c r="M12" s="67">
        <f t="shared" si="4"/>
        <v>56389.848315872638</v>
      </c>
      <c r="N12" s="67">
        <f t="shared" si="4"/>
        <v>48482.479951011373</v>
      </c>
      <c r="O12" s="67">
        <f t="shared" si="4"/>
        <v>41683.936602088441</v>
      </c>
    </row>
    <row r="13" spans="2:19" ht="16.2" thickBot="1" x14ac:dyDescent="0.35"/>
    <row r="14" spans="2:19" ht="16.2" thickBot="1" x14ac:dyDescent="0.35">
      <c r="B14" s="72" t="s">
        <v>104</v>
      </c>
      <c r="C14" s="73">
        <f>SUM(E12:O12)</f>
        <v>399459.45459458861</v>
      </c>
      <c r="E14" s="151" t="s">
        <v>105</v>
      </c>
      <c r="F14" s="152" t="s">
        <v>81</v>
      </c>
    </row>
    <row r="16" spans="2:19" x14ac:dyDescent="0.3">
      <c r="B16" s="61" t="s">
        <v>106</v>
      </c>
      <c r="C16" s="74">
        <f>IRR(E10:O10,0.1)</f>
        <v>0.36776345016631051</v>
      </c>
    </row>
    <row r="20" spans="2:18" x14ac:dyDescent="0.3">
      <c r="B20" s="75" t="s">
        <v>107</v>
      </c>
      <c r="C20" s="76"/>
      <c r="D20" s="76"/>
      <c r="E20" s="76"/>
      <c r="F20" s="77"/>
      <c r="G20" s="77"/>
      <c r="H20" s="77"/>
      <c r="I20" s="96"/>
      <c r="J20" s="96"/>
      <c r="K20" s="96"/>
      <c r="L20" s="96"/>
      <c r="M20" s="96"/>
      <c r="N20" s="96"/>
      <c r="O20" s="96"/>
      <c r="P20" s="96"/>
      <c r="Q20" s="96"/>
      <c r="R20" s="96"/>
    </row>
    <row r="21" spans="2:18" x14ac:dyDescent="0.3">
      <c r="G21" s="78"/>
      <c r="H21" s="78"/>
      <c r="I21" s="97"/>
      <c r="J21" s="97"/>
      <c r="K21" s="97"/>
      <c r="L21" s="97"/>
      <c r="M21" s="97"/>
      <c r="N21" s="97"/>
      <c r="O21" s="97"/>
      <c r="P21" s="97"/>
      <c r="Q21" s="97"/>
      <c r="R21" s="97"/>
    </row>
    <row r="22" spans="2:18" ht="16.2" thickBot="1" x14ac:dyDescent="0.35">
      <c r="B22" s="79" t="s">
        <v>108</v>
      </c>
      <c r="C22" s="79"/>
      <c r="D22" s="79"/>
      <c r="E22" s="79"/>
      <c r="F22" s="79"/>
      <c r="G22" s="79"/>
      <c r="H22" s="79"/>
      <c r="I22" s="61"/>
      <c r="J22" s="61"/>
      <c r="K22" s="61"/>
      <c r="L22" s="61"/>
      <c r="M22" s="61"/>
      <c r="N22" s="61"/>
      <c r="O22" s="61"/>
      <c r="P22" s="61"/>
      <c r="Q22" s="61"/>
      <c r="R22" s="61"/>
    </row>
    <row r="23" spans="2:18" x14ac:dyDescent="0.3">
      <c r="G23" s="78"/>
      <c r="H23" s="78"/>
      <c r="I23" s="78"/>
      <c r="J23" s="97"/>
      <c r="K23" s="97"/>
      <c r="L23" s="97"/>
      <c r="M23" s="97"/>
      <c r="N23" s="97"/>
      <c r="O23" s="97"/>
      <c r="P23" s="97"/>
      <c r="Q23" s="97"/>
      <c r="R23" s="97"/>
    </row>
    <row r="24" spans="2:18" x14ac:dyDescent="0.3">
      <c r="B24" s="52" t="s">
        <v>109</v>
      </c>
      <c r="D24" s="80">
        <f>+D30+D34</f>
        <v>4.7900000000000005E-2</v>
      </c>
      <c r="E24" s="78"/>
      <c r="F24" s="78"/>
      <c r="G24" s="78" t="s">
        <v>110</v>
      </c>
      <c r="H24" s="81">
        <f>D31*(1-D32)</f>
        <v>0.77280000000000004</v>
      </c>
      <c r="K24" s="98"/>
      <c r="L24" s="98"/>
      <c r="M24" s="98"/>
      <c r="N24" s="98"/>
      <c r="O24" s="98"/>
    </row>
    <row r="25" spans="2:18" x14ac:dyDescent="0.3">
      <c r="B25" s="52" t="s">
        <v>111</v>
      </c>
      <c r="D25" s="82">
        <f>+D30+D33*H24+D35</f>
        <v>0.12808944</v>
      </c>
      <c r="E25" s="78"/>
      <c r="F25" s="78"/>
      <c r="G25" s="78" t="s">
        <v>112</v>
      </c>
      <c r="H25" s="81">
        <f>+H24*(1+H26/(1-H26))</f>
        <v>0.77280000000000004</v>
      </c>
      <c r="K25" s="81"/>
      <c r="L25" s="81"/>
      <c r="M25" s="81"/>
      <c r="N25" s="81"/>
      <c r="O25" s="81"/>
    </row>
    <row r="26" spans="2:18" x14ac:dyDescent="0.3">
      <c r="B26" s="52" t="s">
        <v>113</v>
      </c>
      <c r="D26" s="82">
        <f>+D30+(D33*H25)+D35+D36+D37</f>
        <v>0.22808943999999998</v>
      </c>
      <c r="E26" s="78"/>
      <c r="F26" s="78"/>
      <c r="G26" s="78" t="s">
        <v>114</v>
      </c>
      <c r="H26" s="83">
        <v>0</v>
      </c>
      <c r="K26" s="83"/>
      <c r="L26" s="83"/>
      <c r="M26" s="83"/>
      <c r="N26" s="83"/>
      <c r="O26" s="83"/>
    </row>
    <row r="27" spans="2:18" x14ac:dyDescent="0.3">
      <c r="B27" s="52" t="s">
        <v>95</v>
      </c>
      <c r="D27" s="80">
        <f>+(1-H26)*D26+H26*D24*(1-H27)</f>
        <v>0.22808943999999998</v>
      </c>
      <c r="E27" s="78"/>
      <c r="F27" s="78"/>
      <c r="G27" s="78" t="s">
        <v>115</v>
      </c>
      <c r="H27" s="83">
        <v>0.35</v>
      </c>
      <c r="K27" s="83"/>
      <c r="L27" s="83"/>
      <c r="M27" s="83"/>
      <c r="N27" s="83"/>
      <c r="O27" s="83"/>
    </row>
    <row r="29" spans="2:18" x14ac:dyDescent="0.3">
      <c r="B29" s="84" t="s">
        <v>116</v>
      </c>
      <c r="C29" s="84"/>
      <c r="D29" s="84"/>
    </row>
    <row r="30" spans="2:18" x14ac:dyDescent="0.3">
      <c r="B30" s="52" t="s">
        <v>117</v>
      </c>
      <c r="D30" s="85">
        <v>4.5400000000000003E-2</v>
      </c>
      <c r="G30" s="52" t="s">
        <v>125</v>
      </c>
      <c r="H30" s="80">
        <f>D30</f>
        <v>4.5400000000000003E-2</v>
      </c>
    </row>
    <row r="31" spans="2:18" x14ac:dyDescent="0.3">
      <c r="B31" s="52" t="s">
        <v>118</v>
      </c>
      <c r="D31" s="86">
        <v>0.92</v>
      </c>
      <c r="E31" s="52" t="s">
        <v>119</v>
      </c>
      <c r="G31" s="52" t="s">
        <v>128</v>
      </c>
      <c r="H31" s="89">
        <f>H24</f>
        <v>0.77280000000000004</v>
      </c>
    </row>
    <row r="32" spans="2:18" x14ac:dyDescent="0.3">
      <c r="B32" s="52" t="s">
        <v>120</v>
      </c>
      <c r="D32" s="85">
        <v>0.16</v>
      </c>
      <c r="G32" s="52" t="s">
        <v>129</v>
      </c>
      <c r="H32" s="80">
        <f>D33</f>
        <v>4.2299999999999997E-2</v>
      </c>
    </row>
    <row r="33" spans="2:15" x14ac:dyDescent="0.3">
      <c r="B33" s="52" t="s">
        <v>122</v>
      </c>
      <c r="D33" s="87">
        <v>4.2299999999999997E-2</v>
      </c>
      <c r="E33" s="52" t="s">
        <v>123</v>
      </c>
      <c r="G33" s="52" t="s">
        <v>121</v>
      </c>
      <c r="H33" s="80">
        <f>D35</f>
        <v>0.05</v>
      </c>
    </row>
    <row r="34" spans="2:15" x14ac:dyDescent="0.3">
      <c r="B34" s="52" t="s">
        <v>124</v>
      </c>
      <c r="D34" s="87">
        <v>2.5000000000000001E-3</v>
      </c>
      <c r="G34" s="52" t="s">
        <v>113</v>
      </c>
      <c r="H34" s="80">
        <f>D26</f>
        <v>0.22808943999999998</v>
      </c>
    </row>
    <row r="35" spans="2:15" x14ac:dyDescent="0.3">
      <c r="B35" s="52" t="s">
        <v>126</v>
      </c>
      <c r="D35" s="87">
        <v>0.05</v>
      </c>
      <c r="E35" s="52" t="s">
        <v>127</v>
      </c>
      <c r="G35" s="90" t="s">
        <v>130</v>
      </c>
      <c r="H35" s="91">
        <f>H34</f>
        <v>0.22808943999999998</v>
      </c>
    </row>
    <row r="36" spans="2:15" x14ac:dyDescent="0.3">
      <c r="B36" s="52" t="s">
        <v>131</v>
      </c>
      <c r="D36" s="87">
        <v>0.05</v>
      </c>
    </row>
    <row r="37" spans="2:15" x14ac:dyDescent="0.3">
      <c r="B37" s="52" t="s">
        <v>132</v>
      </c>
      <c r="D37" s="87">
        <v>0.05</v>
      </c>
      <c r="H37" s="80"/>
      <c r="K37" s="80"/>
      <c r="L37" s="80"/>
      <c r="M37" s="80"/>
      <c r="N37" s="80"/>
      <c r="O37" s="80"/>
    </row>
    <row r="38" spans="2:15" x14ac:dyDescent="0.3"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</row>
    <row r="39" spans="2:15" x14ac:dyDescent="0.3">
      <c r="D39" s="93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</row>
    <row r="40" spans="2:15" x14ac:dyDescent="0.3">
      <c r="D40" s="93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</row>
    <row r="41" spans="2:15" x14ac:dyDescent="0.3">
      <c r="D41" s="87"/>
      <c r="K41" s="80"/>
      <c r="L41" s="80"/>
      <c r="M41" s="80"/>
      <c r="N41" s="80"/>
      <c r="O41" s="80"/>
    </row>
    <row r="42" spans="2:15" x14ac:dyDescent="0.3">
      <c r="D42" s="87"/>
      <c r="K42" s="92"/>
      <c r="L42" s="92"/>
      <c r="M42" s="92"/>
      <c r="N42" s="92"/>
      <c r="O42" s="92"/>
    </row>
    <row r="43" spans="2:15" x14ac:dyDescent="0.3">
      <c r="D43" s="87"/>
    </row>
    <row r="44" spans="2:15" x14ac:dyDescent="0.3">
      <c r="F44" s="87"/>
    </row>
    <row r="45" spans="2:15" x14ac:dyDescent="0.3">
      <c r="F45" s="87"/>
    </row>
    <row r="46" spans="2:15" x14ac:dyDescent="0.3">
      <c r="F46" s="87"/>
    </row>
    <row r="47" spans="2:15" x14ac:dyDescent="0.3">
      <c r="F47" s="8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A0259-BB85-C343-8010-78924C8EE03C}">
  <dimension ref="A2:I24"/>
  <sheetViews>
    <sheetView topLeftCell="A2" workbookViewId="0">
      <selection activeCell="B29" sqref="B29"/>
    </sheetView>
  </sheetViews>
  <sheetFormatPr baseColWidth="10" defaultRowHeight="18" x14ac:dyDescent="0.3"/>
  <cols>
    <col min="1" max="1" width="10.77734375" style="132"/>
    <col min="2" max="2" width="49.6640625" style="133" customWidth="1"/>
    <col min="3" max="3" width="43.6640625" style="133" customWidth="1"/>
    <col min="4" max="4" width="73.44140625" style="134" customWidth="1"/>
    <col min="5" max="8" width="10.77734375" style="134"/>
    <col min="9" max="9" width="10.77734375" style="132"/>
  </cols>
  <sheetData>
    <row r="2" spans="2:4" x14ac:dyDescent="0.3">
      <c r="B2" s="133" t="s">
        <v>165</v>
      </c>
      <c r="C2" s="133" t="s">
        <v>167</v>
      </c>
      <c r="D2" s="133" t="s">
        <v>166</v>
      </c>
    </row>
    <row r="3" spans="2:4" ht="108" x14ac:dyDescent="0.3">
      <c r="B3" s="133" t="s">
        <v>146</v>
      </c>
      <c r="C3" s="133" t="s">
        <v>176</v>
      </c>
      <c r="D3" s="133"/>
    </row>
    <row r="4" spans="2:4" ht="54" x14ac:dyDescent="0.3">
      <c r="B4" s="133" t="s">
        <v>147</v>
      </c>
      <c r="C4" s="133" t="s">
        <v>168</v>
      </c>
      <c r="D4" s="133"/>
    </row>
    <row r="5" spans="2:4" x14ac:dyDescent="0.3">
      <c r="B5" s="133" t="s">
        <v>148</v>
      </c>
      <c r="D5" s="133"/>
    </row>
    <row r="6" spans="2:4" ht="90" x14ac:dyDescent="0.3">
      <c r="B6" s="133" t="s">
        <v>149</v>
      </c>
      <c r="C6" s="133" t="s">
        <v>169</v>
      </c>
      <c r="D6" s="133"/>
    </row>
    <row r="7" spans="2:4" ht="90" x14ac:dyDescent="0.3">
      <c r="B7" s="133" t="s">
        <v>150</v>
      </c>
      <c r="C7" s="133" t="s">
        <v>170</v>
      </c>
      <c r="D7" s="133"/>
    </row>
    <row r="8" spans="2:4" x14ac:dyDescent="0.3">
      <c r="B8" s="133" t="s">
        <v>151</v>
      </c>
      <c r="C8" s="133" t="s">
        <v>152</v>
      </c>
      <c r="D8" s="133"/>
    </row>
    <row r="9" spans="2:4" x14ac:dyDescent="0.3">
      <c r="B9" s="133" t="s">
        <v>153</v>
      </c>
      <c r="C9" s="133" t="s">
        <v>154</v>
      </c>
      <c r="D9" s="133" t="s">
        <v>193</v>
      </c>
    </row>
    <row r="10" spans="2:4" ht="36" x14ac:dyDescent="0.3">
      <c r="B10" s="133" t="s">
        <v>155</v>
      </c>
      <c r="C10" s="133" t="s">
        <v>171</v>
      </c>
      <c r="D10" s="133"/>
    </row>
    <row r="11" spans="2:4" ht="54" x14ac:dyDescent="0.3">
      <c r="B11" s="133" t="s">
        <v>156</v>
      </c>
      <c r="C11" s="133" t="s">
        <v>172</v>
      </c>
      <c r="D11" s="133" t="s">
        <v>197</v>
      </c>
    </row>
    <row r="12" spans="2:4" ht="90" x14ac:dyDescent="0.3">
      <c r="B12" s="133" t="s">
        <v>157</v>
      </c>
      <c r="C12" s="133" t="s">
        <v>173</v>
      </c>
      <c r="D12" s="133"/>
    </row>
    <row r="13" spans="2:4" ht="36" x14ac:dyDescent="0.3">
      <c r="B13" s="142" t="s">
        <v>158</v>
      </c>
      <c r="C13" s="142" t="s">
        <v>159</v>
      </c>
      <c r="D13" s="133"/>
    </row>
    <row r="14" spans="2:4" x14ac:dyDescent="0.3">
      <c r="B14" s="133" t="s">
        <v>161</v>
      </c>
      <c r="C14" s="133" t="s">
        <v>160</v>
      </c>
      <c r="D14" s="133"/>
    </row>
    <row r="15" spans="2:4" ht="72" x14ac:dyDescent="0.3">
      <c r="B15" s="133" t="s">
        <v>162</v>
      </c>
      <c r="C15" s="133" t="s">
        <v>174</v>
      </c>
      <c r="D15" s="133" t="s">
        <v>198</v>
      </c>
    </row>
    <row r="16" spans="2:4" ht="36" x14ac:dyDescent="0.3">
      <c r="B16" s="142" t="s">
        <v>163</v>
      </c>
      <c r="C16" s="142" t="s">
        <v>177</v>
      </c>
      <c r="D16" s="133"/>
    </row>
    <row r="17" spans="2:4" x14ac:dyDescent="0.3">
      <c r="B17" s="142" t="s">
        <v>45</v>
      </c>
      <c r="C17" s="142" t="s">
        <v>175</v>
      </c>
      <c r="D17" s="133"/>
    </row>
    <row r="18" spans="2:4" x14ac:dyDescent="0.3">
      <c r="B18" s="133" t="s">
        <v>164</v>
      </c>
      <c r="D18" s="133"/>
    </row>
    <row r="19" spans="2:4" ht="36" x14ac:dyDescent="0.3">
      <c r="B19" s="133" t="s">
        <v>178</v>
      </c>
      <c r="D19" s="133"/>
    </row>
    <row r="20" spans="2:4" ht="36" x14ac:dyDescent="0.3">
      <c r="B20" s="133" t="s">
        <v>179</v>
      </c>
      <c r="C20" s="133" t="s">
        <v>180</v>
      </c>
      <c r="D20" s="133"/>
    </row>
    <row r="21" spans="2:4" ht="72" x14ac:dyDescent="0.3">
      <c r="B21" s="133" t="s">
        <v>181</v>
      </c>
      <c r="C21" s="133" t="s">
        <v>182</v>
      </c>
      <c r="D21" s="133"/>
    </row>
    <row r="22" spans="2:4" x14ac:dyDescent="0.3">
      <c r="B22" s="133" t="s">
        <v>183</v>
      </c>
      <c r="C22" s="133" t="s">
        <v>184</v>
      </c>
      <c r="D22" s="133"/>
    </row>
    <row r="23" spans="2:4" ht="54" x14ac:dyDescent="0.3">
      <c r="B23" s="133" t="s">
        <v>185</v>
      </c>
      <c r="C23" s="133" t="s">
        <v>186</v>
      </c>
      <c r="D23" s="133"/>
    </row>
    <row r="24" spans="2:4" ht="54" x14ac:dyDescent="0.3">
      <c r="B24" s="133" t="s">
        <v>187</v>
      </c>
      <c r="C24" s="133" t="s">
        <v>188</v>
      </c>
      <c r="D24" s="13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EERR Mensual</vt:lpstr>
      <vt:lpstr>Cash Flow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Sanjurjo</dc:creator>
  <cp:lastModifiedBy>Lisandro de la Torre</cp:lastModifiedBy>
  <dcterms:created xsi:type="dcterms:W3CDTF">2026-05-15T20:40:16Z</dcterms:created>
  <dcterms:modified xsi:type="dcterms:W3CDTF">2026-06-23T02:35:05Z</dcterms:modified>
</cp:coreProperties>
</file>