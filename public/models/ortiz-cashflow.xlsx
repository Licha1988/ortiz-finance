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2440279a38a6d5b/Escritorio/"/>
    </mc:Choice>
  </mc:AlternateContent>
  <xr:revisionPtr revIDLastSave="3" documentId="8_{115B6707-3F5C-4CA7-ACCC-A6F3C72DA7AF}" xr6:coauthVersionLast="47" xr6:coauthVersionMax="47" xr10:uidLastSave="{9ACE39D1-CF97-4993-9FFD-1FE541654E4C}"/>
  <bookViews>
    <workbookView xWindow="28680" yWindow="-120" windowWidth="29040" windowHeight="15720" xr2:uid="{7F29031F-2161-2747-AA8B-8613B19CFE52}"/>
  </bookViews>
  <sheets>
    <sheet name="EERR Mensual" sheetId="1" r:id="rId1"/>
    <sheet name="Cash Flow" sheetId="2" r:id="rId2"/>
    <sheet name="ITEM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8" i="1" l="1"/>
  <c r="L50" i="1"/>
  <c r="C87" i="2"/>
  <c r="E88" i="2"/>
  <c r="E90" i="2"/>
  <c r="E100" i="2"/>
  <c r="E102" i="2" s="1"/>
  <c r="P7" i="2"/>
  <c r="S8" i="2"/>
  <c r="P8" i="2" s="1"/>
  <c r="C20" i="2"/>
  <c r="D24" i="2"/>
  <c r="H24" i="2"/>
  <c r="D25" i="2"/>
  <c r="H30" i="2"/>
  <c r="H31" i="2"/>
  <c r="H32" i="2"/>
  <c r="H33" i="2"/>
  <c r="C41" i="2"/>
  <c r="C44" i="2"/>
  <c r="C45" i="2"/>
  <c r="C47" i="2"/>
  <c r="E72" i="2"/>
  <c r="E75" i="2" s="1"/>
  <c r="F72" i="2"/>
  <c r="G72" i="2"/>
  <c r="H72" i="2"/>
  <c r="I72" i="2"/>
  <c r="J72" i="2"/>
  <c r="J75" i="2" s="1"/>
  <c r="K72" i="2"/>
  <c r="K75" i="2" s="1"/>
  <c r="L72" i="2"/>
  <c r="L75" i="2" s="1"/>
  <c r="M72" i="2"/>
  <c r="M73" i="2" s="1"/>
  <c r="N72" i="2"/>
  <c r="N73" i="2" s="1"/>
  <c r="O72" i="2"/>
  <c r="O75" i="2" s="1"/>
  <c r="F73" i="2"/>
  <c r="G73" i="2"/>
  <c r="H73" i="2"/>
  <c r="I73" i="2"/>
  <c r="J73" i="2"/>
  <c r="K73" i="2"/>
  <c r="L73" i="2"/>
  <c r="F75" i="2"/>
  <c r="G75" i="2"/>
  <c r="H75" i="2"/>
  <c r="I75" i="2"/>
  <c r="I64" i="1"/>
  <c r="J69" i="1"/>
  <c r="E73" i="2" l="1"/>
  <c r="M75" i="2"/>
  <c r="N75" i="2"/>
  <c r="O58" i="2"/>
  <c r="O73" i="2"/>
  <c r="AL32" i="1"/>
  <c r="AM32" i="1"/>
  <c r="AN32" i="1"/>
  <c r="AO32" i="1"/>
  <c r="AP32" i="1"/>
  <c r="AQ32" i="1"/>
  <c r="AR32" i="1"/>
  <c r="AS32" i="1"/>
  <c r="AT32" i="1"/>
  <c r="AU32" i="1"/>
  <c r="AV32" i="1"/>
  <c r="AW32" i="1"/>
  <c r="X32" i="1"/>
  <c r="Y32" i="1"/>
  <c r="Z32" i="1"/>
  <c r="AA32" i="1"/>
  <c r="AB32" i="1"/>
  <c r="AC32" i="1"/>
  <c r="AD32" i="1"/>
  <c r="AE32" i="1"/>
  <c r="AF32" i="1"/>
  <c r="AG32" i="1"/>
  <c r="AH32" i="1"/>
  <c r="AI32" i="1"/>
  <c r="K32" i="1"/>
  <c r="L32" i="1"/>
  <c r="M32" i="1"/>
  <c r="N32" i="1"/>
  <c r="O32" i="1"/>
  <c r="P32" i="1"/>
  <c r="Q32" i="1"/>
  <c r="R32" i="1"/>
  <c r="S32" i="1"/>
  <c r="T32" i="1"/>
  <c r="U32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K31" i="1"/>
  <c r="L31" i="1"/>
  <c r="M31" i="1"/>
  <c r="N31" i="1"/>
  <c r="O31" i="1"/>
  <c r="P31" i="1"/>
  <c r="Q31" i="1"/>
  <c r="R31" i="1"/>
  <c r="S31" i="1"/>
  <c r="T31" i="1"/>
  <c r="U31" i="1"/>
  <c r="AL26" i="1"/>
  <c r="AM26" i="1"/>
  <c r="AN26" i="1"/>
  <c r="AO26" i="1"/>
  <c r="AP26" i="1"/>
  <c r="AQ26" i="1"/>
  <c r="AR26" i="1"/>
  <c r="AS26" i="1"/>
  <c r="AT26" i="1"/>
  <c r="AU26" i="1"/>
  <c r="AV26" i="1"/>
  <c r="AW26" i="1"/>
  <c r="X26" i="1"/>
  <c r="Y26" i="1"/>
  <c r="Z26" i="1"/>
  <c r="AA26" i="1"/>
  <c r="AB26" i="1"/>
  <c r="AC26" i="1"/>
  <c r="AD26" i="1"/>
  <c r="AE26" i="1"/>
  <c r="AF26" i="1"/>
  <c r="AG26" i="1"/>
  <c r="AH26" i="1"/>
  <c r="AI26" i="1"/>
  <c r="K26" i="1"/>
  <c r="L26" i="1"/>
  <c r="M26" i="1"/>
  <c r="N26" i="1"/>
  <c r="O26" i="1"/>
  <c r="P26" i="1"/>
  <c r="Q26" i="1"/>
  <c r="R26" i="1"/>
  <c r="S26" i="1"/>
  <c r="T26" i="1"/>
  <c r="U26" i="1"/>
  <c r="AL25" i="1"/>
  <c r="AL69" i="1" s="1"/>
  <c r="AM25" i="1"/>
  <c r="AM69" i="1" s="1"/>
  <c r="AN25" i="1"/>
  <c r="AN69" i="1" s="1"/>
  <c r="AO25" i="1"/>
  <c r="AO69" i="1" s="1"/>
  <c r="AP25" i="1"/>
  <c r="AP69" i="1" s="1"/>
  <c r="AQ25" i="1"/>
  <c r="AQ69" i="1" s="1"/>
  <c r="AR25" i="1"/>
  <c r="AR69" i="1" s="1"/>
  <c r="AS25" i="1"/>
  <c r="AS69" i="1" s="1"/>
  <c r="AT25" i="1"/>
  <c r="AT69" i="1" s="1"/>
  <c r="AU25" i="1"/>
  <c r="AU69" i="1" s="1"/>
  <c r="AV25" i="1"/>
  <c r="AV69" i="1" s="1"/>
  <c r="AW25" i="1"/>
  <c r="AW69" i="1" s="1"/>
  <c r="X25" i="1"/>
  <c r="X69" i="1" s="1"/>
  <c r="Y25" i="1"/>
  <c r="Y69" i="1" s="1"/>
  <c r="Z25" i="1"/>
  <c r="Z69" i="1" s="1"/>
  <c r="AA25" i="1"/>
  <c r="AA69" i="1" s="1"/>
  <c r="AB25" i="1"/>
  <c r="AB69" i="1" s="1"/>
  <c r="AC25" i="1"/>
  <c r="AC69" i="1" s="1"/>
  <c r="AD25" i="1"/>
  <c r="AD69" i="1" s="1"/>
  <c r="AE25" i="1"/>
  <c r="AE69" i="1" s="1"/>
  <c r="AF25" i="1"/>
  <c r="AF69" i="1" s="1"/>
  <c r="AG25" i="1"/>
  <c r="AG69" i="1" s="1"/>
  <c r="AH25" i="1"/>
  <c r="AH69" i="1" s="1"/>
  <c r="AI25" i="1"/>
  <c r="AI69" i="1" s="1"/>
  <c r="K25" i="1"/>
  <c r="K69" i="1" s="1"/>
  <c r="L25" i="1"/>
  <c r="L69" i="1" s="1"/>
  <c r="M25" i="1"/>
  <c r="M69" i="1" s="1"/>
  <c r="N25" i="1"/>
  <c r="N69" i="1" s="1"/>
  <c r="O25" i="1"/>
  <c r="O69" i="1" s="1"/>
  <c r="P25" i="1"/>
  <c r="P69" i="1" s="1"/>
  <c r="Q25" i="1"/>
  <c r="Q69" i="1" s="1"/>
  <c r="R25" i="1"/>
  <c r="R69" i="1" s="1"/>
  <c r="S25" i="1"/>
  <c r="S69" i="1" s="1"/>
  <c r="T25" i="1"/>
  <c r="T69" i="1" s="1"/>
  <c r="U25" i="1"/>
  <c r="U69" i="1" s="1"/>
  <c r="I73" i="1" l="1"/>
  <c r="N6" i="1"/>
  <c r="N5" i="1" s="1"/>
  <c r="AM24" i="1"/>
  <c r="AN24" i="1"/>
  <c r="AO24" i="1"/>
  <c r="AP24" i="1"/>
  <c r="AQ24" i="1"/>
  <c r="AR24" i="1"/>
  <c r="AS24" i="1"/>
  <c r="AT24" i="1"/>
  <c r="AU24" i="1"/>
  <c r="AV24" i="1"/>
  <c r="AW24" i="1"/>
  <c r="AL24" i="1"/>
  <c r="Y24" i="1"/>
  <c r="Z24" i="1"/>
  <c r="AA24" i="1"/>
  <c r="AB24" i="1"/>
  <c r="AC24" i="1"/>
  <c r="AD24" i="1"/>
  <c r="AE24" i="1"/>
  <c r="AF24" i="1"/>
  <c r="AG24" i="1"/>
  <c r="AH24" i="1"/>
  <c r="AI24" i="1"/>
  <c r="X24" i="1"/>
  <c r="X30" i="1" s="1"/>
  <c r="K24" i="1"/>
  <c r="K30" i="1" s="1"/>
  <c r="K91" i="1" s="1"/>
  <c r="L24" i="1"/>
  <c r="L30" i="1" s="1"/>
  <c r="M24" i="1"/>
  <c r="M30" i="1" s="1"/>
  <c r="N24" i="1"/>
  <c r="N30" i="1" s="1"/>
  <c r="O24" i="1"/>
  <c r="O30" i="1" s="1"/>
  <c r="P24" i="1"/>
  <c r="P30" i="1" s="1"/>
  <c r="Q24" i="1"/>
  <c r="Q30" i="1" s="1"/>
  <c r="R24" i="1"/>
  <c r="R30" i="1" s="1"/>
  <c r="S24" i="1"/>
  <c r="S30" i="1" s="1"/>
  <c r="T24" i="1"/>
  <c r="T30" i="1" s="1"/>
  <c r="U24" i="1"/>
  <c r="U30" i="1" s="1"/>
  <c r="J24" i="1"/>
  <c r="AR87" i="1"/>
  <c r="AR88" i="1" s="1"/>
  <c r="AW64" i="1"/>
  <c r="AV64" i="1"/>
  <c r="AU64" i="1"/>
  <c r="AT64" i="1"/>
  <c r="AS64" i="1"/>
  <c r="AR64" i="1"/>
  <c r="AQ64" i="1"/>
  <c r="AP64" i="1"/>
  <c r="AO64" i="1"/>
  <c r="AN64" i="1"/>
  <c r="AM64" i="1"/>
  <c r="AL64" i="1"/>
  <c r="AW29" i="1"/>
  <c r="AV29" i="1"/>
  <c r="AU29" i="1"/>
  <c r="AT29" i="1"/>
  <c r="AS29" i="1"/>
  <c r="AR29" i="1"/>
  <c r="AQ29" i="1"/>
  <c r="AP29" i="1"/>
  <c r="AO29" i="1"/>
  <c r="AN29" i="1"/>
  <c r="AM29" i="1"/>
  <c r="AL29" i="1"/>
  <c r="AW28" i="1"/>
  <c r="AV28" i="1"/>
  <c r="AU28" i="1"/>
  <c r="AT28" i="1"/>
  <c r="AS28" i="1"/>
  <c r="AR28" i="1"/>
  <c r="AQ28" i="1"/>
  <c r="AP28" i="1"/>
  <c r="AO28" i="1"/>
  <c r="AN28" i="1"/>
  <c r="AM28" i="1"/>
  <c r="AL28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W6" i="1"/>
  <c r="AW5" i="1" s="1"/>
  <c r="AV6" i="1"/>
  <c r="AV5" i="1" s="1"/>
  <c r="AV50" i="1" s="1"/>
  <c r="AU6" i="1"/>
  <c r="AU5" i="1" s="1"/>
  <c r="AT6" i="1"/>
  <c r="AT5" i="1" s="1"/>
  <c r="AS6" i="1"/>
  <c r="AS5" i="1" s="1"/>
  <c r="AS50" i="1" s="1"/>
  <c r="AR6" i="1"/>
  <c r="AR5" i="1" s="1"/>
  <c r="AQ6" i="1"/>
  <c r="AQ5" i="1" s="1"/>
  <c r="AQ50" i="1" s="1"/>
  <c r="AP6" i="1"/>
  <c r="AP5" i="1" s="1"/>
  <c r="AP50" i="1" s="1"/>
  <c r="AO6" i="1"/>
  <c r="AO5" i="1" s="1"/>
  <c r="AN6" i="1"/>
  <c r="AN5" i="1" s="1"/>
  <c r="AN50" i="1" s="1"/>
  <c r="AM6" i="1"/>
  <c r="AM5" i="1" s="1"/>
  <c r="AL6" i="1"/>
  <c r="AL5" i="1" s="1"/>
  <c r="Y6" i="1"/>
  <c r="Y5" i="1" s="1"/>
  <c r="Y50" i="1" s="1"/>
  <c r="Z6" i="1"/>
  <c r="Z5" i="1" s="1"/>
  <c r="Z50" i="1" s="1"/>
  <c r="AA6" i="1"/>
  <c r="AA5" i="1" s="1"/>
  <c r="AA50" i="1" s="1"/>
  <c r="AB6" i="1"/>
  <c r="AB5" i="1" s="1"/>
  <c r="AB50" i="1" s="1"/>
  <c r="AC6" i="1"/>
  <c r="AC5" i="1" s="1"/>
  <c r="AC50" i="1" s="1"/>
  <c r="AD6" i="1"/>
  <c r="AD5" i="1" s="1"/>
  <c r="AD50" i="1" s="1"/>
  <c r="AE6" i="1"/>
  <c r="AE5" i="1" s="1"/>
  <c r="AE50" i="1" s="1"/>
  <c r="AF6" i="1"/>
  <c r="AF5" i="1" s="1"/>
  <c r="AF50" i="1" s="1"/>
  <c r="AG6" i="1"/>
  <c r="AG5" i="1" s="1"/>
  <c r="AG50" i="1" s="1"/>
  <c r="AH6" i="1"/>
  <c r="AH5" i="1" s="1"/>
  <c r="AH50" i="1" s="1"/>
  <c r="AI6" i="1"/>
  <c r="AI5" i="1" s="1"/>
  <c r="AI50" i="1" s="1"/>
  <c r="X6" i="1"/>
  <c r="X5" i="1" s="1"/>
  <c r="X50" i="1" s="1"/>
  <c r="K6" i="1"/>
  <c r="K5" i="1" s="1"/>
  <c r="L6" i="1"/>
  <c r="L5" i="1" s="1"/>
  <c r="L67" i="1" s="1"/>
  <c r="M6" i="1"/>
  <c r="M5" i="1" s="1"/>
  <c r="M50" i="1" s="1"/>
  <c r="O6" i="1"/>
  <c r="O5" i="1" s="1"/>
  <c r="P6" i="1"/>
  <c r="P5" i="1" s="1"/>
  <c r="Q6" i="1"/>
  <c r="Q5" i="1" s="1"/>
  <c r="R6" i="1"/>
  <c r="R5" i="1" s="1"/>
  <c r="S6" i="1"/>
  <c r="S5" i="1" s="1"/>
  <c r="T6" i="1"/>
  <c r="T5" i="1" s="1"/>
  <c r="U6" i="1"/>
  <c r="U5" i="1" s="1"/>
  <c r="J6" i="1"/>
  <c r="AM70" i="1" l="1"/>
  <c r="AM50" i="1"/>
  <c r="AL70" i="1"/>
  <c r="AL50" i="1"/>
  <c r="AO50" i="1"/>
  <c r="AO77" i="1" s="1"/>
  <c r="AU70" i="1"/>
  <c r="AU50" i="1"/>
  <c r="AW16" i="1"/>
  <c r="AW50" i="1"/>
  <c r="AW77" i="1" s="1"/>
  <c r="AR70" i="1"/>
  <c r="AR50" i="1"/>
  <c r="AR77" i="1" s="1"/>
  <c r="AT70" i="1"/>
  <c r="AT50" i="1"/>
  <c r="AT77" i="1" s="1"/>
  <c r="O67" i="1"/>
  <c r="O50" i="1"/>
  <c r="M67" i="1"/>
  <c r="U67" i="1"/>
  <c r="U50" i="1"/>
  <c r="S67" i="1"/>
  <c r="S50" i="1"/>
  <c r="R67" i="1"/>
  <c r="R50" i="1"/>
  <c r="P67" i="1"/>
  <c r="P50" i="1"/>
  <c r="T67" i="1"/>
  <c r="T50" i="1"/>
  <c r="Q67" i="1"/>
  <c r="Q50" i="1"/>
  <c r="N67" i="1"/>
  <c r="N50" i="1"/>
  <c r="K67" i="1"/>
  <c r="K50" i="1"/>
  <c r="G49" i="2"/>
  <c r="J5" i="1"/>
  <c r="AV30" i="1"/>
  <c r="AV23" i="1" s="1"/>
  <c r="AP30" i="1"/>
  <c r="AQ30" i="1"/>
  <c r="AA30" i="1"/>
  <c r="Y30" i="1"/>
  <c r="AB30" i="1"/>
  <c r="AH30" i="1"/>
  <c r="Z30" i="1"/>
  <c r="AD30" i="1"/>
  <c r="AI30" i="1"/>
  <c r="AG30" i="1"/>
  <c r="AF30" i="1"/>
  <c r="AE30" i="1"/>
  <c r="AC30" i="1"/>
  <c r="AT30" i="1"/>
  <c r="AT75" i="1" s="1"/>
  <c r="AO30" i="1"/>
  <c r="AO75" i="1" s="1"/>
  <c r="AW30" i="1"/>
  <c r="AW91" i="1" s="1"/>
  <c r="AU30" i="1"/>
  <c r="AU23" i="1" s="1"/>
  <c r="AN30" i="1"/>
  <c r="AN23" i="1" s="1"/>
  <c r="AM30" i="1"/>
  <c r="AM75" i="1" s="1"/>
  <c r="AS30" i="1"/>
  <c r="AS23" i="1" s="1"/>
  <c r="AR30" i="1"/>
  <c r="AR23" i="1" s="1"/>
  <c r="AL30" i="1"/>
  <c r="AL75" i="1" s="1"/>
  <c r="AQ67" i="1"/>
  <c r="AQ77" i="1"/>
  <c r="AQ16" i="1"/>
  <c r="AQ14" i="1"/>
  <c r="AQ12" i="1"/>
  <c r="AQ55" i="1" s="1"/>
  <c r="AQ71" i="1" s="1"/>
  <c r="AQ70" i="1"/>
  <c r="AQ17" i="1"/>
  <c r="AQ15" i="1"/>
  <c r="AQ13" i="1"/>
  <c r="AQ11" i="1"/>
  <c r="AQ54" i="1" s="1"/>
  <c r="AQ68" i="1" s="1"/>
  <c r="AN67" i="1"/>
  <c r="AN77" i="1"/>
  <c r="AN16" i="1"/>
  <c r="AN14" i="1"/>
  <c r="AN12" i="1"/>
  <c r="AN55" i="1" s="1"/>
  <c r="AN71" i="1" s="1"/>
  <c r="AN70" i="1"/>
  <c r="AN17" i="1"/>
  <c r="AN15" i="1"/>
  <c r="AN13" i="1"/>
  <c r="AN11" i="1"/>
  <c r="AN54" i="1" s="1"/>
  <c r="AN68" i="1" s="1"/>
  <c r="AS13" i="1"/>
  <c r="AS17" i="1"/>
  <c r="AS11" i="1"/>
  <c r="AS54" i="1" s="1"/>
  <c r="AS68" i="1" s="1"/>
  <c r="AS67" i="1"/>
  <c r="AS77" i="1"/>
  <c r="AS16" i="1"/>
  <c r="AS14" i="1"/>
  <c r="AS12" i="1"/>
  <c r="AS55" i="1" s="1"/>
  <c r="AS71" i="1" s="1"/>
  <c r="AS15" i="1"/>
  <c r="AS70" i="1"/>
  <c r="AV67" i="1"/>
  <c r="AV77" i="1"/>
  <c r="AV16" i="1"/>
  <c r="AV14" i="1"/>
  <c r="AV12" i="1"/>
  <c r="AV55" i="1" s="1"/>
  <c r="AV71" i="1" s="1"/>
  <c r="AV70" i="1"/>
  <c r="AV17" i="1"/>
  <c r="AV15" i="1"/>
  <c r="AV13" i="1"/>
  <c r="AV11" i="1"/>
  <c r="AV54" i="1" s="1"/>
  <c r="AV68" i="1" s="1"/>
  <c r="AP67" i="1"/>
  <c r="AP77" i="1"/>
  <c r="AP16" i="1"/>
  <c r="AP14" i="1"/>
  <c r="AP12" i="1"/>
  <c r="AP55" i="1" s="1"/>
  <c r="AP71" i="1" s="1"/>
  <c r="AP70" i="1"/>
  <c r="AP17" i="1"/>
  <c r="AP15" i="1"/>
  <c r="AP13" i="1"/>
  <c r="AP11" i="1"/>
  <c r="AP54" i="1" s="1"/>
  <c r="AP68" i="1" s="1"/>
  <c r="AW12" i="1"/>
  <c r="AW55" i="1" s="1"/>
  <c r="AW71" i="1" s="1"/>
  <c r="AR12" i="1"/>
  <c r="AR55" i="1" s="1"/>
  <c r="AR71" i="1" s="1"/>
  <c r="AR14" i="1"/>
  <c r="AR16" i="1"/>
  <c r="AR67" i="1"/>
  <c r="AO11" i="1"/>
  <c r="AO54" i="1" s="1"/>
  <c r="AO68" i="1" s="1"/>
  <c r="AW11" i="1"/>
  <c r="AW54" i="1" s="1"/>
  <c r="AW68" i="1" s="1"/>
  <c r="AO13" i="1"/>
  <c r="AW13" i="1"/>
  <c r="AO15" i="1"/>
  <c r="AW15" i="1"/>
  <c r="AO17" i="1"/>
  <c r="AW17" i="1"/>
  <c r="AO70" i="1"/>
  <c r="AW70" i="1"/>
  <c r="AW67" i="1"/>
  <c r="AL12" i="1"/>
  <c r="AL55" i="1" s="1"/>
  <c r="AL71" i="1" s="1"/>
  <c r="AT12" i="1"/>
  <c r="AT55" i="1" s="1"/>
  <c r="AT71" i="1" s="1"/>
  <c r="AL14" i="1"/>
  <c r="AT14" i="1"/>
  <c r="AL16" i="1"/>
  <c r="AT16" i="1"/>
  <c r="AL67" i="1"/>
  <c r="AT67" i="1"/>
  <c r="AO12" i="1"/>
  <c r="AO55" i="1" s="1"/>
  <c r="AO71" i="1" s="1"/>
  <c r="AO16" i="1"/>
  <c r="AO67" i="1"/>
  <c r="AM12" i="1"/>
  <c r="AM55" i="1" s="1"/>
  <c r="AM71" i="1" s="1"/>
  <c r="AU12" i="1"/>
  <c r="AU55" i="1" s="1"/>
  <c r="AU71" i="1" s="1"/>
  <c r="AM14" i="1"/>
  <c r="AU14" i="1"/>
  <c r="AM16" i="1"/>
  <c r="AU16" i="1"/>
  <c r="AM77" i="1"/>
  <c r="AU77" i="1"/>
  <c r="AM67" i="1"/>
  <c r="AU67" i="1"/>
  <c r="AW14" i="1"/>
  <c r="AR11" i="1"/>
  <c r="AR54" i="1" s="1"/>
  <c r="AR68" i="1" s="1"/>
  <c r="AR13" i="1"/>
  <c r="AR15" i="1"/>
  <c r="AR17" i="1"/>
  <c r="AO14" i="1"/>
  <c r="AL11" i="1"/>
  <c r="AL54" i="1" s="1"/>
  <c r="AL68" i="1" s="1"/>
  <c r="AT11" i="1"/>
  <c r="AT54" i="1" s="1"/>
  <c r="AT68" i="1" s="1"/>
  <c r="AL13" i="1"/>
  <c r="AT13" i="1"/>
  <c r="AL15" i="1"/>
  <c r="AT15" i="1"/>
  <c r="AL17" i="1"/>
  <c r="AT17" i="1"/>
  <c r="AM11" i="1"/>
  <c r="AM54" i="1" s="1"/>
  <c r="AM68" i="1" s="1"/>
  <c r="AU11" i="1"/>
  <c r="AU54" i="1" s="1"/>
  <c r="AU68" i="1" s="1"/>
  <c r="AM13" i="1"/>
  <c r="AU13" i="1"/>
  <c r="AM15" i="1"/>
  <c r="AU15" i="1"/>
  <c r="AM17" i="1"/>
  <c r="AU17" i="1"/>
  <c r="AW56" i="1" l="1"/>
  <c r="AW72" i="1" s="1"/>
  <c r="AW66" i="1" s="1"/>
  <c r="AO56" i="1"/>
  <c r="AO72" i="1" s="1"/>
  <c r="AO66" i="1" s="1"/>
  <c r="J67" i="1"/>
  <c r="F49" i="2"/>
  <c r="F52" i="2" s="1"/>
  <c r="H49" i="2"/>
  <c r="G52" i="2"/>
  <c r="AP56" i="1"/>
  <c r="AP72" i="1" s="1"/>
  <c r="AP66" i="1" s="1"/>
  <c r="AT56" i="1"/>
  <c r="AT72" i="1" s="1"/>
  <c r="AT66" i="1" s="1"/>
  <c r="AR56" i="1"/>
  <c r="AR72" i="1" s="1"/>
  <c r="AR66" i="1" s="1"/>
  <c r="AU56" i="1"/>
  <c r="AU72" i="1" s="1"/>
  <c r="AU66" i="1" s="1"/>
  <c r="AS56" i="1"/>
  <c r="AS72" i="1" s="1"/>
  <c r="AS66" i="1" s="1"/>
  <c r="AQ56" i="1"/>
  <c r="AQ72" i="1" s="1"/>
  <c r="AQ66" i="1" s="1"/>
  <c r="AV56" i="1"/>
  <c r="AV72" i="1" s="1"/>
  <c r="AV66" i="1" s="1"/>
  <c r="AM56" i="1"/>
  <c r="AM72" i="1" s="1"/>
  <c r="AM66" i="1" s="1"/>
  <c r="AN56" i="1"/>
  <c r="AN72" i="1" s="1"/>
  <c r="AN66" i="1" s="1"/>
  <c r="AL56" i="1"/>
  <c r="AL72" i="1" s="1"/>
  <c r="AL66" i="1" s="1"/>
  <c r="AO23" i="1"/>
  <c r="AT23" i="1"/>
  <c r="AW23" i="1"/>
  <c r="AR75" i="1"/>
  <c r="AL23" i="1"/>
  <c r="AS75" i="1"/>
  <c r="AM23" i="1"/>
  <c r="AN75" i="1"/>
  <c r="AU75" i="1"/>
  <c r="AW75" i="1"/>
  <c r="AQ91" i="1"/>
  <c r="AR91" i="1" s="1"/>
  <c r="AS91" i="1" s="1"/>
  <c r="AT91" i="1" s="1"/>
  <c r="AU91" i="1" s="1"/>
  <c r="AV91" i="1" s="1"/>
  <c r="AV75" i="1" s="1"/>
  <c r="AQ75" i="1"/>
  <c r="AL77" i="1"/>
  <c r="AL93" i="1" s="1"/>
  <c r="AM93" i="1" s="1"/>
  <c r="AN93" i="1" s="1"/>
  <c r="AO93" i="1" s="1"/>
  <c r="AP93" i="1" s="1"/>
  <c r="AQ93" i="1" s="1"/>
  <c r="AR93" i="1" s="1"/>
  <c r="AS93" i="1" s="1"/>
  <c r="AT93" i="1" s="1"/>
  <c r="AU93" i="1" s="1"/>
  <c r="AV93" i="1" s="1"/>
  <c r="AW93" i="1" s="1"/>
  <c r="AQ23" i="1"/>
  <c r="AP23" i="1"/>
  <c r="AT10" i="1"/>
  <c r="AT19" i="1" s="1"/>
  <c r="AM10" i="1"/>
  <c r="AM19" i="1" s="1"/>
  <c r="AN10" i="1"/>
  <c r="AN19" i="1" s="1"/>
  <c r="AO10" i="1"/>
  <c r="AO19" i="1" s="1"/>
  <c r="AL10" i="1"/>
  <c r="AL19" i="1" s="1"/>
  <c r="AQ10" i="1"/>
  <c r="AQ19" i="1" s="1"/>
  <c r="AU10" i="1"/>
  <c r="AU19" i="1" s="1"/>
  <c r="AS10" i="1"/>
  <c r="AS19" i="1" s="1"/>
  <c r="AP10" i="1"/>
  <c r="AP19" i="1" s="1"/>
  <c r="AV10" i="1"/>
  <c r="AV19" i="1" s="1"/>
  <c r="AR10" i="1"/>
  <c r="AR19" i="1" s="1"/>
  <c r="AW10" i="1"/>
  <c r="AW19" i="1" s="1"/>
  <c r="I49" i="2" l="1"/>
  <c r="H52" i="2"/>
  <c r="AU100" i="1"/>
  <c r="AO100" i="1"/>
  <c r="AT100" i="1"/>
  <c r="AS100" i="1"/>
  <c r="AV65" i="1"/>
  <c r="AW100" i="1"/>
  <c r="AR100" i="1"/>
  <c r="AP100" i="1"/>
  <c r="AN65" i="1"/>
  <c r="AL100" i="1"/>
  <c r="AU65" i="1"/>
  <c r="AN34" i="1"/>
  <c r="AN20" i="1"/>
  <c r="AQ34" i="1"/>
  <c r="AQ20" i="1"/>
  <c r="AS20" i="1"/>
  <c r="AS34" i="1"/>
  <c r="AL34" i="1"/>
  <c r="AL20" i="1"/>
  <c r="AM34" i="1"/>
  <c r="AM20" i="1"/>
  <c r="AV34" i="1"/>
  <c r="AV20" i="1"/>
  <c r="AW34" i="1"/>
  <c r="AW20" i="1"/>
  <c r="AT65" i="1"/>
  <c r="AR34" i="1"/>
  <c r="AR20" i="1"/>
  <c r="AU34" i="1"/>
  <c r="AU20" i="1"/>
  <c r="AO34" i="1"/>
  <c r="AO20" i="1"/>
  <c r="AT34" i="1"/>
  <c r="AT20" i="1"/>
  <c r="AP34" i="1"/>
  <c r="AP20" i="1"/>
  <c r="I52" i="2" l="1"/>
  <c r="J49" i="2"/>
  <c r="AQ65" i="1"/>
  <c r="AM65" i="1"/>
  <c r="AN100" i="1"/>
  <c r="AP65" i="1"/>
  <c r="AM100" i="1"/>
  <c r="AW65" i="1"/>
  <c r="AQ100" i="1"/>
  <c r="AO65" i="1"/>
  <c r="AV100" i="1"/>
  <c r="AR65" i="1"/>
  <c r="AS65" i="1"/>
  <c r="AQ35" i="1"/>
  <c r="AQ39" i="1"/>
  <c r="AQ63" i="1" s="1"/>
  <c r="AN35" i="1"/>
  <c r="AN39" i="1"/>
  <c r="AN63" i="1" s="1"/>
  <c r="AS39" i="1"/>
  <c r="AS63" i="1" s="1"/>
  <c r="AS35" i="1"/>
  <c r="AW35" i="1"/>
  <c r="AW39" i="1"/>
  <c r="AW63" i="1" s="1"/>
  <c r="AP35" i="1"/>
  <c r="AP39" i="1"/>
  <c r="AP63" i="1" s="1"/>
  <c r="AR39" i="1"/>
  <c r="AR63" i="1" s="1"/>
  <c r="AR35" i="1"/>
  <c r="AV35" i="1"/>
  <c r="AV39" i="1"/>
  <c r="AV63" i="1" s="1"/>
  <c r="AM39" i="1"/>
  <c r="AM63" i="1" s="1"/>
  <c r="AM35" i="1"/>
  <c r="AU39" i="1"/>
  <c r="AU63" i="1" s="1"/>
  <c r="AU35" i="1"/>
  <c r="AT39" i="1"/>
  <c r="AT63" i="1" s="1"/>
  <c r="AT35" i="1"/>
  <c r="AO35" i="1"/>
  <c r="AO39" i="1"/>
  <c r="AO63" i="1" s="1"/>
  <c r="AL39" i="1"/>
  <c r="AL35" i="1"/>
  <c r="AD87" i="1"/>
  <c r="AD88" i="1" s="1"/>
  <c r="AI64" i="1"/>
  <c r="AH64" i="1"/>
  <c r="AG64" i="1"/>
  <c r="AF64" i="1"/>
  <c r="AE64" i="1"/>
  <c r="AD64" i="1"/>
  <c r="AC64" i="1"/>
  <c r="AB64" i="1"/>
  <c r="AA64" i="1"/>
  <c r="Z64" i="1"/>
  <c r="Y64" i="1"/>
  <c r="X64" i="1"/>
  <c r="U64" i="1"/>
  <c r="T64" i="1"/>
  <c r="S64" i="1"/>
  <c r="R64" i="1"/>
  <c r="Q64" i="1"/>
  <c r="P64" i="1"/>
  <c r="O64" i="1"/>
  <c r="N64" i="1"/>
  <c r="M64" i="1"/>
  <c r="L64" i="1"/>
  <c r="K64" i="1"/>
  <c r="J64" i="1"/>
  <c r="AA75" i="1"/>
  <c r="Z75" i="1"/>
  <c r="Y75" i="1"/>
  <c r="X75" i="1"/>
  <c r="AI29" i="1"/>
  <c r="AH29" i="1"/>
  <c r="AG29" i="1"/>
  <c r="AF29" i="1"/>
  <c r="AE29" i="1"/>
  <c r="AD29" i="1"/>
  <c r="AC29" i="1"/>
  <c r="AB29" i="1"/>
  <c r="AA29" i="1"/>
  <c r="Z29" i="1"/>
  <c r="Y29" i="1"/>
  <c r="X29" i="1"/>
  <c r="U29" i="1"/>
  <c r="T29" i="1"/>
  <c r="S29" i="1"/>
  <c r="R29" i="1"/>
  <c r="Q29" i="1"/>
  <c r="P29" i="1"/>
  <c r="O29" i="1"/>
  <c r="N29" i="1"/>
  <c r="M29" i="1"/>
  <c r="L29" i="1"/>
  <c r="K29" i="1"/>
  <c r="AI28" i="1"/>
  <c r="AH28" i="1"/>
  <c r="AG28" i="1"/>
  <c r="AF28" i="1"/>
  <c r="AE28" i="1"/>
  <c r="AD28" i="1"/>
  <c r="AC28" i="1"/>
  <c r="AB28" i="1"/>
  <c r="AA28" i="1"/>
  <c r="Z28" i="1"/>
  <c r="Y28" i="1"/>
  <c r="X28" i="1"/>
  <c r="U28" i="1"/>
  <c r="T28" i="1"/>
  <c r="S28" i="1"/>
  <c r="R28" i="1"/>
  <c r="Q28" i="1"/>
  <c r="P28" i="1"/>
  <c r="O28" i="1"/>
  <c r="N28" i="1"/>
  <c r="M28" i="1"/>
  <c r="L28" i="1"/>
  <c r="K28" i="1"/>
  <c r="AI27" i="1"/>
  <c r="AH27" i="1"/>
  <c r="AG27" i="1"/>
  <c r="AF27" i="1"/>
  <c r="AE27" i="1"/>
  <c r="AD27" i="1"/>
  <c r="AC27" i="1"/>
  <c r="AB27" i="1"/>
  <c r="AA27" i="1"/>
  <c r="Z27" i="1"/>
  <c r="Y27" i="1"/>
  <c r="X27" i="1"/>
  <c r="U27" i="1"/>
  <c r="T27" i="1"/>
  <c r="S27" i="1"/>
  <c r="R27" i="1"/>
  <c r="Q27" i="1"/>
  <c r="P27" i="1"/>
  <c r="O27" i="1"/>
  <c r="N27" i="1"/>
  <c r="M27" i="1"/>
  <c r="L27" i="1"/>
  <c r="K27" i="1"/>
  <c r="AI77" i="1"/>
  <c r="AH77" i="1"/>
  <c r="AG77" i="1"/>
  <c r="AF14" i="1"/>
  <c r="AE12" i="1"/>
  <c r="AE55" i="1" s="1"/>
  <c r="AE71" i="1" s="1"/>
  <c r="AD77" i="1"/>
  <c r="AC77" i="1"/>
  <c r="AB77" i="1"/>
  <c r="AA77" i="1"/>
  <c r="Z77" i="1"/>
  <c r="Y77" i="1"/>
  <c r="X17" i="1"/>
  <c r="S77" i="1"/>
  <c r="R77" i="1"/>
  <c r="P77" i="1"/>
  <c r="O77" i="1"/>
  <c r="N70" i="1"/>
  <c r="J50" i="1"/>
  <c r="J77" i="1" s="1"/>
  <c r="J52" i="2" l="1"/>
  <c r="K49" i="2"/>
  <c r="AL63" i="1"/>
  <c r="AL41" i="1"/>
  <c r="Q75" i="1"/>
  <c r="S75" i="1"/>
  <c r="AG75" i="1"/>
  <c r="AI91" i="1"/>
  <c r="AL91" i="1" s="1"/>
  <c r="AM91" i="1" s="1"/>
  <c r="AN91" i="1" s="1"/>
  <c r="AO91" i="1" s="1"/>
  <c r="AP91" i="1" s="1"/>
  <c r="AP75" i="1" s="1"/>
  <c r="AI75" i="1"/>
  <c r="P75" i="1"/>
  <c r="U91" i="1"/>
  <c r="X91" i="1" s="1"/>
  <c r="Y91" i="1" s="1"/>
  <c r="Z91" i="1" s="1"/>
  <c r="AA91" i="1" s="1"/>
  <c r="AB91" i="1" s="1"/>
  <c r="AB75" i="1" s="1"/>
  <c r="U75" i="1"/>
  <c r="M75" i="1"/>
  <c r="J91" i="1"/>
  <c r="L91" i="1" s="1"/>
  <c r="M91" i="1" s="1"/>
  <c r="N91" i="1" s="1"/>
  <c r="N75" i="1" s="1"/>
  <c r="J75" i="1"/>
  <c r="AD75" i="1"/>
  <c r="O75" i="1"/>
  <c r="O91" i="1"/>
  <c r="P91" i="1" s="1"/>
  <c r="Q91" i="1" s="1"/>
  <c r="R91" i="1" s="1"/>
  <c r="S91" i="1" s="1"/>
  <c r="T91" i="1" s="1"/>
  <c r="T75" i="1" s="1"/>
  <c r="AE75" i="1"/>
  <c r="R75" i="1"/>
  <c r="AC75" i="1"/>
  <c r="AC91" i="1"/>
  <c r="AD91" i="1" s="1"/>
  <c r="AE91" i="1" s="1"/>
  <c r="AF91" i="1" s="1"/>
  <c r="AG91" i="1" s="1"/>
  <c r="AH91" i="1" s="1"/>
  <c r="AH75" i="1" s="1"/>
  <c r="K75" i="1"/>
  <c r="L75" i="1"/>
  <c r="AF75" i="1"/>
  <c r="J93" i="1"/>
  <c r="M23" i="1"/>
  <c r="S23" i="1"/>
  <c r="AC23" i="1"/>
  <c r="AA23" i="1"/>
  <c r="AB23" i="1"/>
  <c r="Z23" i="1"/>
  <c r="AD23" i="1"/>
  <c r="AG23" i="1"/>
  <c r="AI23" i="1"/>
  <c r="T23" i="1"/>
  <c r="AF23" i="1"/>
  <c r="U23" i="1"/>
  <c r="R23" i="1"/>
  <c r="K23" i="1"/>
  <c r="J23" i="1"/>
  <c r="N23" i="1"/>
  <c r="Q23" i="1"/>
  <c r="AO40" i="1"/>
  <c r="AM40" i="1"/>
  <c r="AV40" i="1"/>
  <c r="AT40" i="1"/>
  <c r="AU40" i="1"/>
  <c r="AP40" i="1"/>
  <c r="AQ40" i="1"/>
  <c r="AW40" i="1"/>
  <c r="AS40" i="1"/>
  <c r="AN40" i="1"/>
  <c r="AR40" i="1"/>
  <c r="AL40" i="1"/>
  <c r="O23" i="1"/>
  <c r="Y23" i="1"/>
  <c r="I66" i="1"/>
  <c r="I65" i="1" s="1"/>
  <c r="E55" i="2" s="1"/>
  <c r="E59" i="2" s="1"/>
  <c r="Z67" i="1"/>
  <c r="AH67" i="1"/>
  <c r="AD70" i="1"/>
  <c r="AA67" i="1"/>
  <c r="AI67" i="1"/>
  <c r="AE70" i="1"/>
  <c r="AB67" i="1"/>
  <c r="X70" i="1"/>
  <c r="AF70" i="1"/>
  <c r="AC67" i="1"/>
  <c r="Y70" i="1"/>
  <c r="AG70" i="1"/>
  <c r="AD67" i="1"/>
  <c r="Z70" i="1"/>
  <c r="AH70" i="1"/>
  <c r="AE67" i="1"/>
  <c r="AA70" i="1"/>
  <c r="AI70" i="1"/>
  <c r="X67" i="1"/>
  <c r="AF67" i="1"/>
  <c r="AB70" i="1"/>
  <c r="Y67" i="1"/>
  <c r="AG67" i="1"/>
  <c r="AC70" i="1"/>
  <c r="P23" i="1"/>
  <c r="L23" i="1"/>
  <c r="AH23" i="1"/>
  <c r="T77" i="1"/>
  <c r="T70" i="1"/>
  <c r="U70" i="1"/>
  <c r="M70" i="1"/>
  <c r="AD14" i="1"/>
  <c r="AE23" i="1"/>
  <c r="Q77" i="1"/>
  <c r="Q70" i="1"/>
  <c r="R70" i="1"/>
  <c r="S70" i="1"/>
  <c r="P70" i="1"/>
  <c r="O70" i="1"/>
  <c r="T17" i="1"/>
  <c r="X23" i="1"/>
  <c r="T13" i="1"/>
  <c r="J70" i="1"/>
  <c r="K70" i="1"/>
  <c r="K77" i="1"/>
  <c r="K93" i="1" s="1"/>
  <c r="K16" i="1"/>
  <c r="K11" i="1"/>
  <c r="K54" i="1" s="1"/>
  <c r="K68" i="1" s="1"/>
  <c r="K17" i="1"/>
  <c r="K13" i="1"/>
  <c r="K12" i="1"/>
  <c r="K55" i="1" s="1"/>
  <c r="K71" i="1" s="1"/>
  <c r="K14" i="1"/>
  <c r="K15" i="1"/>
  <c r="L70" i="1"/>
  <c r="L77" i="1"/>
  <c r="L11" i="1"/>
  <c r="L54" i="1" s="1"/>
  <c r="L68" i="1" s="1"/>
  <c r="L17" i="1"/>
  <c r="L13" i="1"/>
  <c r="L12" i="1"/>
  <c r="L55" i="1" s="1"/>
  <c r="L71" i="1" s="1"/>
  <c r="L15" i="1"/>
  <c r="L14" i="1"/>
  <c r="L16" i="1"/>
  <c r="M14" i="1"/>
  <c r="M13" i="1"/>
  <c r="M11" i="1"/>
  <c r="M54" i="1" s="1"/>
  <c r="M68" i="1" s="1"/>
  <c r="M15" i="1"/>
  <c r="M16" i="1"/>
  <c r="M77" i="1"/>
  <c r="M17" i="1"/>
  <c r="M12" i="1"/>
  <c r="M55" i="1" s="1"/>
  <c r="M71" i="1" s="1"/>
  <c r="S11" i="1"/>
  <c r="S54" i="1" s="1"/>
  <c r="S68" i="1" s="1"/>
  <c r="AC17" i="1"/>
  <c r="U17" i="1"/>
  <c r="U15" i="1"/>
  <c r="U11" i="1"/>
  <c r="U54" i="1" s="1"/>
  <c r="U68" i="1" s="1"/>
  <c r="U16" i="1"/>
  <c r="U13" i="1"/>
  <c r="U12" i="1"/>
  <c r="U55" i="1" s="1"/>
  <c r="U71" i="1" s="1"/>
  <c r="U77" i="1"/>
  <c r="U14" i="1"/>
  <c r="T11" i="1"/>
  <c r="T54" i="1" s="1"/>
  <c r="T68" i="1" s="1"/>
  <c r="AD13" i="1"/>
  <c r="AD17" i="1"/>
  <c r="N77" i="1"/>
  <c r="N14" i="1"/>
  <c r="N11" i="1"/>
  <c r="N54" i="1" s="1"/>
  <c r="N68" i="1" s="1"/>
  <c r="N17" i="1"/>
  <c r="N15" i="1"/>
  <c r="N12" i="1"/>
  <c r="N55" i="1" s="1"/>
  <c r="N71" i="1" s="1"/>
  <c r="N16" i="1"/>
  <c r="N13" i="1"/>
  <c r="AC11" i="1"/>
  <c r="AC54" i="1" s="1"/>
  <c r="AC68" i="1" s="1"/>
  <c r="AD11" i="1"/>
  <c r="AD54" i="1" s="1"/>
  <c r="AD68" i="1" s="1"/>
  <c r="T15" i="1"/>
  <c r="AD16" i="1"/>
  <c r="T12" i="1"/>
  <c r="T55" i="1" s="1"/>
  <c r="T71" i="1" s="1"/>
  <c r="S16" i="1"/>
  <c r="AE15" i="1"/>
  <c r="AE13" i="1"/>
  <c r="AE14" i="1"/>
  <c r="AE17" i="1"/>
  <c r="AE16" i="1"/>
  <c r="AE77" i="1"/>
  <c r="AE11" i="1"/>
  <c r="AE54" i="1" s="1"/>
  <c r="AE68" i="1" s="1"/>
  <c r="AC16" i="1"/>
  <c r="S14" i="1"/>
  <c r="AC15" i="1"/>
  <c r="S12" i="1"/>
  <c r="S55" i="1" s="1"/>
  <c r="S71" i="1" s="1"/>
  <c r="AC13" i="1"/>
  <c r="AC12" i="1"/>
  <c r="AC55" i="1" s="1"/>
  <c r="AC71" i="1" s="1"/>
  <c r="T16" i="1"/>
  <c r="AD12" i="1"/>
  <c r="AD55" i="1" s="1"/>
  <c r="AD71" i="1" s="1"/>
  <c r="S15" i="1"/>
  <c r="T14" i="1"/>
  <c r="AD15" i="1"/>
  <c r="S13" i="1"/>
  <c r="AC14" i="1"/>
  <c r="S17" i="1"/>
  <c r="X15" i="1"/>
  <c r="AF12" i="1"/>
  <c r="AF55" i="1" s="1"/>
  <c r="AF71" i="1" s="1"/>
  <c r="X14" i="1"/>
  <c r="AF17" i="1"/>
  <c r="AF77" i="1"/>
  <c r="O11" i="1"/>
  <c r="O54" i="1" s="1"/>
  <c r="O68" i="1" s="1"/>
  <c r="Y11" i="1"/>
  <c r="Y54" i="1" s="1"/>
  <c r="Y68" i="1" s="1"/>
  <c r="AG11" i="1"/>
  <c r="AG54" i="1" s="1"/>
  <c r="AG68" i="1" s="1"/>
  <c r="O12" i="1"/>
  <c r="O55" i="1" s="1"/>
  <c r="O71" i="1" s="1"/>
  <c r="Y12" i="1"/>
  <c r="Y55" i="1" s="1"/>
  <c r="Y71" i="1" s="1"/>
  <c r="AG12" i="1"/>
  <c r="AG55" i="1" s="1"/>
  <c r="AG71" i="1" s="1"/>
  <c r="O13" i="1"/>
  <c r="Y13" i="1"/>
  <c r="AG13" i="1"/>
  <c r="O14" i="1"/>
  <c r="Y14" i="1"/>
  <c r="AG14" i="1"/>
  <c r="O15" i="1"/>
  <c r="Y15" i="1"/>
  <c r="AG15" i="1"/>
  <c r="O16" i="1"/>
  <c r="Y16" i="1"/>
  <c r="AG16" i="1"/>
  <c r="O17" i="1"/>
  <c r="Y17" i="1"/>
  <c r="AG17" i="1"/>
  <c r="X11" i="1"/>
  <c r="X54" i="1" s="1"/>
  <c r="X68" i="1" s="1"/>
  <c r="AF13" i="1"/>
  <c r="P11" i="1"/>
  <c r="P54" i="1" s="1"/>
  <c r="P68" i="1" s="1"/>
  <c r="Z11" i="1"/>
  <c r="Z54" i="1" s="1"/>
  <c r="Z68" i="1" s="1"/>
  <c r="AH11" i="1"/>
  <c r="AH54" i="1" s="1"/>
  <c r="AH68" i="1" s="1"/>
  <c r="P12" i="1"/>
  <c r="P55" i="1" s="1"/>
  <c r="P71" i="1" s="1"/>
  <c r="Z12" i="1"/>
  <c r="Z55" i="1" s="1"/>
  <c r="Z71" i="1" s="1"/>
  <c r="AH12" i="1"/>
  <c r="AH55" i="1" s="1"/>
  <c r="AH71" i="1" s="1"/>
  <c r="P13" i="1"/>
  <c r="Z13" i="1"/>
  <c r="AH13" i="1"/>
  <c r="P14" i="1"/>
  <c r="Z14" i="1"/>
  <c r="AH14" i="1"/>
  <c r="P15" i="1"/>
  <c r="Z15" i="1"/>
  <c r="AH15" i="1"/>
  <c r="P16" i="1"/>
  <c r="Z16" i="1"/>
  <c r="AH16" i="1"/>
  <c r="P17" i="1"/>
  <c r="Z17" i="1"/>
  <c r="AH17" i="1"/>
  <c r="X12" i="1"/>
  <c r="X55" i="1" s="1"/>
  <c r="X71" i="1" s="1"/>
  <c r="AF15" i="1"/>
  <c r="AF16" i="1"/>
  <c r="Q11" i="1"/>
  <c r="Q54" i="1" s="1"/>
  <c r="Q68" i="1" s="1"/>
  <c r="AA11" i="1"/>
  <c r="AA54" i="1" s="1"/>
  <c r="AA68" i="1" s="1"/>
  <c r="AI11" i="1"/>
  <c r="AI54" i="1" s="1"/>
  <c r="AI68" i="1" s="1"/>
  <c r="Q12" i="1"/>
  <c r="Q55" i="1" s="1"/>
  <c r="Q71" i="1" s="1"/>
  <c r="AA12" i="1"/>
  <c r="AA55" i="1" s="1"/>
  <c r="AA71" i="1" s="1"/>
  <c r="AI12" i="1"/>
  <c r="AI55" i="1" s="1"/>
  <c r="AI71" i="1" s="1"/>
  <c r="Q13" i="1"/>
  <c r="AA13" i="1"/>
  <c r="AI13" i="1"/>
  <c r="Q14" i="1"/>
  <c r="AA14" i="1"/>
  <c r="AI14" i="1"/>
  <c r="Q15" i="1"/>
  <c r="AA15" i="1"/>
  <c r="AI15" i="1"/>
  <c r="Q16" i="1"/>
  <c r="AA16" i="1"/>
  <c r="AI16" i="1"/>
  <c r="Q17" i="1"/>
  <c r="AA17" i="1"/>
  <c r="AI17" i="1"/>
  <c r="AF11" i="1"/>
  <c r="AF54" i="1" s="1"/>
  <c r="AF68" i="1" s="1"/>
  <c r="X13" i="1"/>
  <c r="X16" i="1"/>
  <c r="J11" i="1"/>
  <c r="J54" i="1" s="1"/>
  <c r="J68" i="1" s="1"/>
  <c r="R11" i="1"/>
  <c r="R54" i="1" s="1"/>
  <c r="R68" i="1" s="1"/>
  <c r="AB11" i="1"/>
  <c r="AB54" i="1" s="1"/>
  <c r="AB68" i="1" s="1"/>
  <c r="J12" i="1"/>
  <c r="J55" i="1" s="1"/>
  <c r="R12" i="1"/>
  <c r="R55" i="1" s="1"/>
  <c r="R71" i="1" s="1"/>
  <c r="AB12" i="1"/>
  <c r="AB55" i="1" s="1"/>
  <c r="AB71" i="1" s="1"/>
  <c r="J13" i="1"/>
  <c r="R13" i="1"/>
  <c r="AB13" i="1"/>
  <c r="J14" i="1"/>
  <c r="R14" i="1"/>
  <c r="AB14" i="1"/>
  <c r="J15" i="1"/>
  <c r="R15" i="1"/>
  <c r="AB15" i="1"/>
  <c r="J16" i="1"/>
  <c r="R16" i="1"/>
  <c r="AB16" i="1"/>
  <c r="J17" i="1"/>
  <c r="R17" i="1"/>
  <c r="AB17" i="1"/>
  <c r="AF56" i="1" l="1"/>
  <c r="E60" i="2"/>
  <c r="K52" i="2"/>
  <c r="L49" i="2"/>
  <c r="AB56" i="1"/>
  <c r="AB72" i="1" s="1"/>
  <c r="AB66" i="1" s="1"/>
  <c r="AE56" i="1"/>
  <c r="AE72" i="1" s="1"/>
  <c r="AE66" i="1" s="1"/>
  <c r="K56" i="1"/>
  <c r="K72" i="1" s="1"/>
  <c r="K66" i="1" s="1"/>
  <c r="K65" i="1" s="1"/>
  <c r="R56" i="1"/>
  <c r="R72" i="1" s="1"/>
  <c r="R66" i="1" s="1"/>
  <c r="J71" i="1"/>
  <c r="J56" i="1"/>
  <c r="J72" i="1" s="1"/>
  <c r="L56" i="1"/>
  <c r="L72" i="1" s="1"/>
  <c r="L66" i="1" s="1"/>
  <c r="AG56" i="1"/>
  <c r="AG72" i="1" s="1"/>
  <c r="AG66" i="1" s="1"/>
  <c r="Y56" i="1"/>
  <c r="Y72" i="1" s="1"/>
  <c r="Y66" i="1" s="1"/>
  <c r="T56" i="1"/>
  <c r="T72" i="1" s="1"/>
  <c r="T66" i="1" s="1"/>
  <c r="AA56" i="1"/>
  <c r="AA72" i="1" s="1"/>
  <c r="AA66" i="1" s="1"/>
  <c r="Z56" i="1"/>
  <c r="Z72" i="1" s="1"/>
  <c r="Z66" i="1" s="1"/>
  <c r="U56" i="1"/>
  <c r="U72" i="1" s="1"/>
  <c r="U66" i="1" s="1"/>
  <c r="AC56" i="1"/>
  <c r="AC72" i="1" s="1"/>
  <c r="AC66" i="1" s="1"/>
  <c r="M56" i="1"/>
  <c r="M72" i="1" s="1"/>
  <c r="M66" i="1" s="1"/>
  <c r="AI56" i="1"/>
  <c r="AI72" i="1" s="1"/>
  <c r="AI66" i="1" s="1"/>
  <c r="AH56" i="1"/>
  <c r="AH72" i="1" s="1"/>
  <c r="AH66" i="1" s="1"/>
  <c r="P56" i="1"/>
  <c r="P72" i="1" s="1"/>
  <c r="P66" i="1" s="1"/>
  <c r="AD56" i="1"/>
  <c r="AD72" i="1" s="1"/>
  <c r="AD66" i="1" s="1"/>
  <c r="O56" i="1"/>
  <c r="O72" i="1" s="1"/>
  <c r="O66" i="1" s="1"/>
  <c r="N56" i="1"/>
  <c r="N72" i="1" s="1"/>
  <c r="N66" i="1" s="1"/>
  <c r="X56" i="1"/>
  <c r="X72" i="1" s="1"/>
  <c r="X66" i="1" s="1"/>
  <c r="Q56" i="1"/>
  <c r="Q72" i="1" s="1"/>
  <c r="Q66" i="1" s="1"/>
  <c r="S56" i="1"/>
  <c r="S72" i="1" s="1"/>
  <c r="S66" i="1" s="1"/>
  <c r="L93" i="1"/>
  <c r="M93" i="1" s="1"/>
  <c r="N93" i="1" s="1"/>
  <c r="O93" i="1" s="1"/>
  <c r="P93" i="1" s="1"/>
  <c r="Q93" i="1" s="1"/>
  <c r="R93" i="1" s="1"/>
  <c r="S93" i="1" s="1"/>
  <c r="T93" i="1" s="1"/>
  <c r="U93" i="1" s="1"/>
  <c r="C39" i="1"/>
  <c r="C60" i="1"/>
  <c r="AM41" i="1"/>
  <c r="AL42" i="1"/>
  <c r="AL76" i="1" s="1"/>
  <c r="AL92" i="1" s="1"/>
  <c r="X77" i="1"/>
  <c r="X93" i="1" s="1"/>
  <c r="Y93" i="1" s="1"/>
  <c r="Z93" i="1" s="1"/>
  <c r="AA93" i="1" s="1"/>
  <c r="AB93" i="1" s="1"/>
  <c r="AC93" i="1" s="1"/>
  <c r="AD93" i="1" s="1"/>
  <c r="AE93" i="1" s="1"/>
  <c r="AF93" i="1" s="1"/>
  <c r="AG93" i="1" s="1"/>
  <c r="AH93" i="1" s="1"/>
  <c r="AI93" i="1" s="1"/>
  <c r="I96" i="1"/>
  <c r="I97" i="1" s="1"/>
  <c r="I98" i="1" s="1"/>
  <c r="J10" i="1"/>
  <c r="J19" i="1" s="1"/>
  <c r="J34" i="1" s="1"/>
  <c r="J39" i="1" s="1"/>
  <c r="S10" i="1"/>
  <c r="AG10" i="1"/>
  <c r="AG19" i="1" s="1"/>
  <c r="AG34" i="1" s="1"/>
  <c r="AD10" i="1"/>
  <c r="AD19" i="1" s="1"/>
  <c r="AD34" i="1" s="1"/>
  <c r="L10" i="1"/>
  <c r="X10" i="1"/>
  <c r="X19" i="1" s="1"/>
  <c r="Q10" i="1"/>
  <c r="AE10" i="1"/>
  <c r="AE19" i="1" s="1"/>
  <c r="U10" i="1"/>
  <c r="K10" i="1"/>
  <c r="Y10" i="1"/>
  <c r="Y19" i="1" s="1"/>
  <c r="AA10" i="1"/>
  <c r="AA19" i="1" s="1"/>
  <c r="AH10" i="1"/>
  <c r="AH19" i="1" s="1"/>
  <c r="AF10" i="1"/>
  <c r="AF19" i="1" s="1"/>
  <c r="Z10" i="1"/>
  <c r="Z19" i="1" s="1"/>
  <c r="T10" i="1"/>
  <c r="AC10" i="1"/>
  <c r="AC19" i="1" s="1"/>
  <c r="O10" i="1"/>
  <c r="AB10" i="1"/>
  <c r="AB19" i="1" s="1"/>
  <c r="P10" i="1"/>
  <c r="M10" i="1"/>
  <c r="AI10" i="1"/>
  <c r="AI19" i="1" s="1"/>
  <c r="R10" i="1"/>
  <c r="N10" i="1"/>
  <c r="AF72" i="1" l="1"/>
  <c r="AF66" i="1" s="1"/>
  <c r="C21" i="2"/>
  <c r="H26" i="2"/>
  <c r="M49" i="2"/>
  <c r="L52" i="2"/>
  <c r="J66" i="1"/>
  <c r="J65" i="1" s="1"/>
  <c r="AE100" i="1"/>
  <c r="AF100" i="1"/>
  <c r="AH100" i="1"/>
  <c r="Y100" i="1"/>
  <c r="AI100" i="1"/>
  <c r="AB100" i="1"/>
  <c r="Z100" i="1"/>
  <c r="AC100" i="1"/>
  <c r="AA100" i="1"/>
  <c r="AD65" i="1"/>
  <c r="X100" i="1"/>
  <c r="AL44" i="1"/>
  <c r="AL45" i="1" s="1"/>
  <c r="J63" i="1"/>
  <c r="J41" i="1"/>
  <c r="AM42" i="1"/>
  <c r="AN41" i="1"/>
  <c r="AF65" i="1"/>
  <c r="Z65" i="1"/>
  <c r="AA65" i="1"/>
  <c r="J20" i="1"/>
  <c r="AG20" i="1"/>
  <c r="AD20" i="1"/>
  <c r="U19" i="1"/>
  <c r="U20" i="1" s="1"/>
  <c r="M19" i="1"/>
  <c r="M20" i="1" s="1"/>
  <c r="M100" i="1"/>
  <c r="Q19" i="1"/>
  <c r="Q34" i="1" s="1"/>
  <c r="Q100" i="1"/>
  <c r="R19" i="1"/>
  <c r="R20" i="1" s="1"/>
  <c r="R100" i="1"/>
  <c r="T19" i="1"/>
  <c r="T20" i="1" s="1"/>
  <c r="T100" i="1"/>
  <c r="P19" i="1"/>
  <c r="P20" i="1" s="1"/>
  <c r="P100" i="1"/>
  <c r="O19" i="1"/>
  <c r="O34" i="1" s="1"/>
  <c r="O100" i="1"/>
  <c r="S19" i="1"/>
  <c r="S100" i="1"/>
  <c r="N19" i="1"/>
  <c r="N34" i="1" s="1"/>
  <c r="N39" i="1" s="1"/>
  <c r="N100" i="1"/>
  <c r="AB34" i="1"/>
  <c r="AB20" i="1"/>
  <c r="X34" i="1"/>
  <c r="X20" i="1"/>
  <c r="AA34" i="1"/>
  <c r="AA20" i="1"/>
  <c r="AC34" i="1"/>
  <c r="AC20" i="1"/>
  <c r="Y34" i="1"/>
  <c r="Y20" i="1"/>
  <c r="K19" i="1"/>
  <c r="AD39" i="1"/>
  <c r="AD63" i="1" s="1"/>
  <c r="AD35" i="1"/>
  <c r="AG39" i="1"/>
  <c r="AG63" i="1" s="1"/>
  <c r="AG35" i="1"/>
  <c r="AF20" i="1"/>
  <c r="AF34" i="1"/>
  <c r="AH34" i="1"/>
  <c r="AH20" i="1"/>
  <c r="L100" i="1"/>
  <c r="L19" i="1"/>
  <c r="AI34" i="1"/>
  <c r="AI20" i="1"/>
  <c r="Z34" i="1"/>
  <c r="Z20" i="1"/>
  <c r="AE20" i="1"/>
  <c r="AE34" i="1"/>
  <c r="AG65" i="1" l="1"/>
  <c r="H25" i="2"/>
  <c r="J100" i="1"/>
  <c r="M52" i="2"/>
  <c r="N49" i="2"/>
  <c r="AI65" i="1"/>
  <c r="AC65" i="1"/>
  <c r="AD100" i="1"/>
  <c r="AB65" i="1"/>
  <c r="AE65" i="1"/>
  <c r="Y65" i="1"/>
  <c r="AG100" i="1"/>
  <c r="AL65" i="1"/>
  <c r="AL78" i="1" s="1"/>
  <c r="AL82" i="1" s="1"/>
  <c r="AH65" i="1"/>
  <c r="K100" i="1"/>
  <c r="X65" i="1"/>
  <c r="U100" i="1"/>
  <c r="AN42" i="1"/>
  <c r="AO41" i="1"/>
  <c r="AM76" i="1"/>
  <c r="AM44" i="1"/>
  <c r="AM45" i="1" s="1"/>
  <c r="J42" i="1"/>
  <c r="J76" i="1" s="1"/>
  <c r="J78" i="1" s="1"/>
  <c r="N63" i="1"/>
  <c r="P34" i="1"/>
  <c r="T34" i="1"/>
  <c r="T35" i="1" s="1"/>
  <c r="N20" i="1"/>
  <c r="Q65" i="1"/>
  <c r="S65" i="1"/>
  <c r="U34" i="1"/>
  <c r="U39" i="1" s="1"/>
  <c r="U63" i="1" s="1"/>
  <c r="Q20" i="1"/>
  <c r="O20" i="1"/>
  <c r="R65" i="1"/>
  <c r="R34" i="1"/>
  <c r="N65" i="1"/>
  <c r="O65" i="1"/>
  <c r="S34" i="1"/>
  <c r="S20" i="1"/>
  <c r="P65" i="1"/>
  <c r="U65" i="1"/>
  <c r="M34" i="1"/>
  <c r="M39" i="1" s="1"/>
  <c r="T65" i="1"/>
  <c r="L65" i="1"/>
  <c r="M65" i="1"/>
  <c r="Y39" i="1"/>
  <c r="Y63" i="1" s="1"/>
  <c r="Y35" i="1"/>
  <c r="AG40" i="1"/>
  <c r="AB39" i="1"/>
  <c r="AB63" i="1" s="1"/>
  <c r="AB35" i="1"/>
  <c r="X35" i="1"/>
  <c r="X39" i="1"/>
  <c r="AE39" i="1"/>
  <c r="AE63" i="1" s="1"/>
  <c r="AE35" i="1"/>
  <c r="AI39" i="1"/>
  <c r="AI63" i="1" s="1"/>
  <c r="AI35" i="1"/>
  <c r="N35" i="1"/>
  <c r="AC39" i="1"/>
  <c r="AC63" i="1" s="1"/>
  <c r="AC35" i="1"/>
  <c r="L34" i="1"/>
  <c r="L20" i="1"/>
  <c r="K34" i="1"/>
  <c r="K20" i="1"/>
  <c r="AH39" i="1"/>
  <c r="AH63" i="1" s="1"/>
  <c r="AH35" i="1"/>
  <c r="AD40" i="1"/>
  <c r="AA39" i="1"/>
  <c r="AA63" i="1" s="1"/>
  <c r="AA35" i="1"/>
  <c r="Q39" i="1"/>
  <c r="Q63" i="1" s="1"/>
  <c r="Q35" i="1"/>
  <c r="Z39" i="1"/>
  <c r="Z63" i="1" s="1"/>
  <c r="Z35" i="1"/>
  <c r="O39" i="1"/>
  <c r="O63" i="1" s="1"/>
  <c r="O35" i="1"/>
  <c r="AF35" i="1"/>
  <c r="AF39" i="1"/>
  <c r="AF63" i="1" s="1"/>
  <c r="I5" i="2" l="1"/>
  <c r="G5" i="2"/>
  <c r="L5" i="2"/>
  <c r="H5" i="2"/>
  <c r="M5" i="2"/>
  <c r="P5" i="2"/>
  <c r="F5" i="2"/>
  <c r="C41" i="1" s="1"/>
  <c r="J5" i="2"/>
  <c r="O5" i="2"/>
  <c r="C42" i="2" s="1"/>
  <c r="N5" i="2"/>
  <c r="D26" i="2"/>
  <c r="K5" i="2"/>
  <c r="E5" i="2"/>
  <c r="O49" i="2"/>
  <c r="N52" i="2"/>
  <c r="X63" i="1"/>
  <c r="X41" i="1"/>
  <c r="AM92" i="1"/>
  <c r="AM78" i="1"/>
  <c r="AM82" i="1" s="1"/>
  <c r="AP41" i="1"/>
  <c r="AO42" i="1"/>
  <c r="AN76" i="1"/>
  <c r="AN78" i="1" s="1"/>
  <c r="AN82" i="1" s="1"/>
  <c r="AN44" i="1"/>
  <c r="AN45" i="1" s="1"/>
  <c r="M63" i="1"/>
  <c r="J92" i="1"/>
  <c r="J44" i="1"/>
  <c r="T39" i="1"/>
  <c r="U35" i="1"/>
  <c r="P39" i="1"/>
  <c r="P35" i="1"/>
  <c r="R35" i="1"/>
  <c r="R39" i="1"/>
  <c r="M35" i="1"/>
  <c r="S39" i="1"/>
  <c r="S63" i="1" s="1"/>
  <c r="S35" i="1"/>
  <c r="AC40" i="1"/>
  <c r="AB40" i="1"/>
  <c r="AF40" i="1"/>
  <c r="M40" i="1"/>
  <c r="AA40" i="1"/>
  <c r="AE40" i="1"/>
  <c r="Q40" i="1"/>
  <c r="AH40" i="1"/>
  <c r="U40" i="1"/>
  <c r="N40" i="1"/>
  <c r="X40" i="1"/>
  <c r="Z40" i="1"/>
  <c r="Y40" i="1"/>
  <c r="O40" i="1"/>
  <c r="K39" i="1"/>
  <c r="K41" i="1" s="1"/>
  <c r="K42" i="1" s="1"/>
  <c r="K35" i="1"/>
  <c r="L39" i="1"/>
  <c r="L35" i="1"/>
  <c r="AI40" i="1"/>
  <c r="G74" i="2" l="1"/>
  <c r="M74" i="2"/>
  <c r="K76" i="2"/>
  <c r="E76" i="2"/>
  <c r="J74" i="2"/>
  <c r="O74" i="2"/>
  <c r="N76" i="2"/>
  <c r="I76" i="2"/>
  <c r="E74" i="2"/>
  <c r="I56" i="2"/>
  <c r="M76" i="2"/>
  <c r="G76" i="2"/>
  <c r="L56" i="2"/>
  <c r="N74" i="2"/>
  <c r="M56" i="2"/>
  <c r="O76" i="2"/>
  <c r="E56" i="2"/>
  <c r="K74" i="2"/>
  <c r="G56" i="2"/>
  <c r="F74" i="2"/>
  <c r="L74" i="2"/>
  <c r="J76" i="2"/>
  <c r="N56" i="2"/>
  <c r="H74" i="2"/>
  <c r="I74" i="2"/>
  <c r="F56" i="2"/>
  <c r="H76" i="2"/>
  <c r="J56" i="2"/>
  <c r="O56" i="2"/>
  <c r="L76" i="2"/>
  <c r="F76" i="2"/>
  <c r="H56" i="2"/>
  <c r="K56" i="2"/>
  <c r="H34" i="2"/>
  <c r="H35" i="2" s="1"/>
  <c r="D27" i="2"/>
  <c r="G50" i="2"/>
  <c r="C46" i="2"/>
  <c r="O50" i="2" s="1"/>
  <c r="O52" i="2"/>
  <c r="AN92" i="1"/>
  <c r="X42" i="1"/>
  <c r="X76" i="1" s="1"/>
  <c r="X92" i="1" s="1"/>
  <c r="Y41" i="1"/>
  <c r="AO76" i="1"/>
  <c r="AO44" i="1"/>
  <c r="AP42" i="1"/>
  <c r="AQ41" i="1"/>
  <c r="K63" i="1"/>
  <c r="R40" i="1"/>
  <c r="R63" i="1"/>
  <c r="P63" i="1"/>
  <c r="L63" i="1"/>
  <c r="T63" i="1"/>
  <c r="T40" i="1"/>
  <c r="P40" i="1"/>
  <c r="S40" i="1"/>
  <c r="K40" i="1"/>
  <c r="L40" i="1"/>
  <c r="E89" i="2" l="1"/>
  <c r="E101" i="2"/>
  <c r="E57" i="2"/>
  <c r="C79" i="2"/>
  <c r="C80" i="2"/>
  <c r="O51" i="2"/>
  <c r="O53" i="2"/>
  <c r="F50" i="2"/>
  <c r="H50" i="2"/>
  <c r="I50" i="2"/>
  <c r="J50" i="2"/>
  <c r="K50" i="2"/>
  <c r="L50" i="2"/>
  <c r="M50" i="2"/>
  <c r="N50" i="2"/>
  <c r="G53" i="2"/>
  <c r="G51" i="2"/>
  <c r="X44" i="1"/>
  <c r="X45" i="1" s="1"/>
  <c r="AP76" i="1"/>
  <c r="AP78" i="1" s="1"/>
  <c r="AP82" i="1" s="1"/>
  <c r="AP44" i="1"/>
  <c r="AP45" i="1" s="1"/>
  <c r="AO78" i="1"/>
  <c r="AO82" i="1" s="1"/>
  <c r="AO45" i="1"/>
  <c r="K76" i="1"/>
  <c r="K92" i="1" s="1"/>
  <c r="L41" i="1"/>
  <c r="AR41" i="1"/>
  <c r="AQ42" i="1"/>
  <c r="Y42" i="1"/>
  <c r="Z41" i="1"/>
  <c r="AO92" i="1"/>
  <c r="J82" i="1"/>
  <c r="N51" i="2" l="1"/>
  <c r="N53" i="2"/>
  <c r="I51" i="2"/>
  <c r="I53" i="2"/>
  <c r="M51" i="2"/>
  <c r="M53" i="2"/>
  <c r="L51" i="2"/>
  <c r="L53" i="2"/>
  <c r="K51" i="2"/>
  <c r="K53" i="2"/>
  <c r="J53" i="2"/>
  <c r="J51" i="2"/>
  <c r="H51" i="2"/>
  <c r="H53" i="2"/>
  <c r="H54" i="2" s="1"/>
  <c r="F53" i="2"/>
  <c r="F54" i="2" s="1"/>
  <c r="F51" i="2"/>
  <c r="K44" i="1"/>
  <c r="K45" i="1" s="1"/>
  <c r="AP92" i="1"/>
  <c r="Y76" i="1"/>
  <c r="Y44" i="1"/>
  <c r="Y45" i="1" s="1"/>
  <c r="AR42" i="1"/>
  <c r="AS41" i="1"/>
  <c r="AQ76" i="1"/>
  <c r="AQ78" i="1" s="1"/>
  <c r="AQ82" i="1" s="1"/>
  <c r="AQ44" i="1"/>
  <c r="AQ45" i="1" s="1"/>
  <c r="Z42" i="1"/>
  <c r="AA41" i="1"/>
  <c r="M41" i="1"/>
  <c r="L42" i="1"/>
  <c r="J83" i="1"/>
  <c r="J101" i="1" s="1"/>
  <c r="J102" i="1" s="1"/>
  <c r="AO86" i="1"/>
  <c r="AP81" i="1" s="1"/>
  <c r="AP83" i="1" s="1"/>
  <c r="AP101" i="1" s="1"/>
  <c r="AP102" i="1" s="1"/>
  <c r="X78" i="1"/>
  <c r="X82" i="1" s="1"/>
  <c r="K78" i="1"/>
  <c r="J54" i="2" l="1"/>
  <c r="K54" i="2"/>
  <c r="K55" i="2" s="1"/>
  <c r="M54" i="2"/>
  <c r="M55" i="2" s="1"/>
  <c r="L54" i="2"/>
  <c r="L55" i="2" s="1"/>
  <c r="H55" i="2"/>
  <c r="I54" i="2"/>
  <c r="I55" i="2" s="1"/>
  <c r="N54" i="2"/>
  <c r="N55" i="2" s="1"/>
  <c r="O54" i="2"/>
  <c r="O55" i="2" s="1"/>
  <c r="G54" i="2"/>
  <c r="G55" i="2" s="1"/>
  <c r="AQ92" i="1"/>
  <c r="L76" i="1"/>
  <c r="L44" i="1"/>
  <c r="L45" i="1" s="1"/>
  <c r="Z76" i="1"/>
  <c r="Z78" i="1" s="1"/>
  <c r="Z82" i="1" s="1"/>
  <c r="Z44" i="1"/>
  <c r="Z45" i="1" s="1"/>
  <c r="AT41" i="1"/>
  <c r="AS42" i="1"/>
  <c r="N41" i="1"/>
  <c r="M42" i="1"/>
  <c r="AA42" i="1"/>
  <c r="AB41" i="1"/>
  <c r="AR76" i="1"/>
  <c r="AR78" i="1" s="1"/>
  <c r="AR82" i="1" s="1"/>
  <c r="AR44" i="1"/>
  <c r="AR45" i="1" s="1"/>
  <c r="Y78" i="1"/>
  <c r="Y82" i="1" s="1"/>
  <c r="Y92" i="1"/>
  <c r="J84" i="1"/>
  <c r="J86" i="1" s="1"/>
  <c r="K83" i="1" s="1"/>
  <c r="K101" i="1" s="1"/>
  <c r="K102" i="1" s="1"/>
  <c r="AP84" i="1"/>
  <c r="AP86" i="1" s="1"/>
  <c r="K82" i="1"/>
  <c r="J55" i="2" l="1"/>
  <c r="J59" i="2" s="1"/>
  <c r="J57" i="2"/>
  <c r="G100" i="2"/>
  <c r="G101" i="2" s="1"/>
  <c r="G88" i="2"/>
  <c r="N100" i="2"/>
  <c r="N101" i="2" s="1"/>
  <c r="N88" i="2"/>
  <c r="N89" i="2" s="1"/>
  <c r="O88" i="2"/>
  <c r="O89" i="2" s="1"/>
  <c r="O100" i="2"/>
  <c r="O101" i="2" s="1"/>
  <c r="K88" i="2"/>
  <c r="K89" i="2" s="1"/>
  <c r="K100" i="2"/>
  <c r="K101" i="2" s="1"/>
  <c r="M88" i="2"/>
  <c r="M89" i="2" s="1"/>
  <c r="M100" i="2"/>
  <c r="M101" i="2" s="1"/>
  <c r="H88" i="2"/>
  <c r="H89" i="2" s="1"/>
  <c r="H100" i="2"/>
  <c r="H101" i="2" s="1"/>
  <c r="I88" i="2"/>
  <c r="I89" i="2" s="1"/>
  <c r="I100" i="2"/>
  <c r="I101" i="2" s="1"/>
  <c r="L100" i="2"/>
  <c r="L101" i="2" s="1"/>
  <c r="L88" i="2"/>
  <c r="L89" i="2" s="1"/>
  <c r="L59" i="2"/>
  <c r="L57" i="2"/>
  <c r="I57" i="2"/>
  <c r="I59" i="2"/>
  <c r="K57" i="2"/>
  <c r="K59" i="2"/>
  <c r="M59" i="2"/>
  <c r="M57" i="2"/>
  <c r="G59" i="2"/>
  <c r="G57" i="2"/>
  <c r="N57" i="2"/>
  <c r="N59" i="2"/>
  <c r="H57" i="2"/>
  <c r="H59" i="2"/>
  <c r="O59" i="2"/>
  <c r="O57" i="2"/>
  <c r="AR92" i="1"/>
  <c r="Z92" i="1"/>
  <c r="M76" i="1"/>
  <c r="M78" i="1" s="1"/>
  <c r="M82" i="1" s="1"/>
  <c r="M44" i="1"/>
  <c r="M45" i="1" s="1"/>
  <c r="AB42" i="1"/>
  <c r="AC41" i="1"/>
  <c r="AT42" i="1"/>
  <c r="AU41" i="1"/>
  <c r="AA76" i="1"/>
  <c r="AA78" i="1" s="1"/>
  <c r="AA82" i="1" s="1"/>
  <c r="AA44" i="1"/>
  <c r="AA45" i="1" s="1"/>
  <c r="N42" i="1"/>
  <c r="O41" i="1"/>
  <c r="AS76" i="1"/>
  <c r="AS78" i="1" s="1"/>
  <c r="AS82" i="1" s="1"/>
  <c r="AS44" i="1"/>
  <c r="AS45" i="1" s="1"/>
  <c r="L92" i="1"/>
  <c r="L78" i="1"/>
  <c r="L82" i="1" s="1"/>
  <c r="AQ81" i="1"/>
  <c r="AQ83" i="1" s="1"/>
  <c r="AQ101" i="1" s="1"/>
  <c r="AQ102" i="1" s="1"/>
  <c r="AP87" i="1"/>
  <c r="AP88" i="1" s="1"/>
  <c r="J87" i="1"/>
  <c r="K84" i="1"/>
  <c r="K86" i="1" s="1"/>
  <c r="J100" i="2" l="1"/>
  <c r="J101" i="2" s="1"/>
  <c r="J88" i="2"/>
  <c r="J89" i="2" s="1"/>
  <c r="G89" i="2"/>
  <c r="M92" i="1"/>
  <c r="N76" i="1"/>
  <c r="N78" i="1" s="1"/>
  <c r="N82" i="1" s="1"/>
  <c r="N44" i="1"/>
  <c r="N45" i="1" s="1"/>
  <c r="O42" i="1"/>
  <c r="P41" i="1"/>
  <c r="AU42" i="1"/>
  <c r="AV41" i="1"/>
  <c r="AT76" i="1"/>
  <c r="AT78" i="1" s="1"/>
  <c r="AT82" i="1" s="1"/>
  <c r="AT44" i="1"/>
  <c r="AT45" i="1" s="1"/>
  <c r="AC42" i="1"/>
  <c r="AD41" i="1"/>
  <c r="AB76" i="1"/>
  <c r="AB78" i="1" s="1"/>
  <c r="AB82" i="1" s="1"/>
  <c r="AB44" i="1"/>
  <c r="AB45" i="1" s="1"/>
  <c r="AA92" i="1"/>
  <c r="AS92" i="1"/>
  <c r="J88" i="1"/>
  <c r="J96" i="1"/>
  <c r="AQ84" i="1"/>
  <c r="AQ86" i="1" s="1"/>
  <c r="AR81" i="1" s="1"/>
  <c r="AR83" i="1" s="1"/>
  <c r="AR101" i="1" s="1"/>
  <c r="AR102" i="1" s="1"/>
  <c r="K87" i="1"/>
  <c r="L81" i="1"/>
  <c r="L83" i="1" s="1"/>
  <c r="L101" i="1" s="1"/>
  <c r="L102" i="1" s="1"/>
  <c r="K88" i="1" l="1"/>
  <c r="K96" i="1"/>
  <c r="AT92" i="1"/>
  <c r="AB92" i="1"/>
  <c r="AC76" i="1"/>
  <c r="AC78" i="1" s="1"/>
  <c r="AC82" i="1" s="1"/>
  <c r="AC44" i="1"/>
  <c r="AC45" i="1" s="1"/>
  <c r="AE41" i="1"/>
  <c r="AD42" i="1"/>
  <c r="AV42" i="1"/>
  <c r="AW41" i="1"/>
  <c r="AW42" i="1" s="1"/>
  <c r="AU76" i="1"/>
  <c r="AU78" i="1" s="1"/>
  <c r="AU82" i="1" s="1"/>
  <c r="AU44" i="1"/>
  <c r="AU45" i="1" s="1"/>
  <c r="Q41" i="1"/>
  <c r="P42" i="1"/>
  <c r="O76" i="1"/>
  <c r="O78" i="1" s="1"/>
  <c r="O82" i="1" s="1"/>
  <c r="O44" i="1"/>
  <c r="O45" i="1" s="1"/>
  <c r="N92" i="1"/>
  <c r="L84" i="1"/>
  <c r="L86" i="1" s="1"/>
  <c r="M81" i="1" s="1"/>
  <c r="M83" i="1" s="1"/>
  <c r="M101" i="1" s="1"/>
  <c r="M102" i="1" s="1"/>
  <c r="J97" i="1"/>
  <c r="AR84" i="1"/>
  <c r="AR86" i="1" s="1"/>
  <c r="AS81" i="1" s="1"/>
  <c r="AS83" i="1" s="1"/>
  <c r="AS101" i="1" s="1"/>
  <c r="AS102" i="1" s="1"/>
  <c r="AQ87" i="1"/>
  <c r="O92" i="1" l="1"/>
  <c r="P44" i="1"/>
  <c r="P45" i="1" s="1"/>
  <c r="P76" i="1"/>
  <c r="P78" i="1" s="1"/>
  <c r="P82" i="1" s="1"/>
  <c r="AW76" i="1"/>
  <c r="AW78" i="1" s="1"/>
  <c r="AW44" i="1"/>
  <c r="AW45" i="1" s="1"/>
  <c r="R41" i="1"/>
  <c r="Q42" i="1"/>
  <c r="AV76" i="1"/>
  <c r="AV78" i="1" s="1"/>
  <c r="AV82" i="1" s="1"/>
  <c r="AV44" i="1"/>
  <c r="AV45" i="1" s="1"/>
  <c r="AD76" i="1"/>
  <c r="AD78" i="1" s="1"/>
  <c r="AD82" i="1" s="1"/>
  <c r="AD44" i="1"/>
  <c r="AD45" i="1" s="1"/>
  <c r="AE42" i="1"/>
  <c r="AF41" i="1"/>
  <c r="AU92" i="1"/>
  <c r="AC92" i="1"/>
  <c r="K97" i="1"/>
  <c r="K98" i="1" s="1"/>
  <c r="J98" i="1"/>
  <c r="AS84" i="1"/>
  <c r="AS86" i="1" s="1"/>
  <c r="AQ88" i="1"/>
  <c r="M84" i="1"/>
  <c r="M86" i="1" s="1"/>
  <c r="L87" i="1"/>
  <c r="L88" i="1" s="1"/>
  <c r="AV92" i="1" l="1"/>
  <c r="AD92" i="1"/>
  <c r="AW92" i="1"/>
  <c r="AF42" i="1"/>
  <c r="AG41" i="1"/>
  <c r="Q76" i="1"/>
  <c r="Q78" i="1" s="1"/>
  <c r="Q82" i="1" s="1"/>
  <c r="Q44" i="1"/>
  <c r="Q45" i="1" s="1"/>
  <c r="AE76" i="1"/>
  <c r="AE78" i="1" s="1"/>
  <c r="AE82" i="1" s="1"/>
  <c r="AE44" i="1"/>
  <c r="AE45" i="1" s="1"/>
  <c r="R42" i="1"/>
  <c r="S41" i="1"/>
  <c r="AW82" i="1"/>
  <c r="AW86" i="1"/>
  <c r="P92" i="1"/>
  <c r="L96" i="1"/>
  <c r="AT81" i="1"/>
  <c r="AT83" i="1" s="1"/>
  <c r="AT101" i="1" s="1"/>
  <c r="AT102" i="1" s="1"/>
  <c r="AS87" i="1"/>
  <c r="N81" i="1"/>
  <c r="N83" i="1" s="1"/>
  <c r="N101" i="1" s="1"/>
  <c r="N102" i="1" s="1"/>
  <c r="M87" i="1"/>
  <c r="M88" i="1" s="1"/>
  <c r="Q92" i="1" l="1"/>
  <c r="AE92" i="1"/>
  <c r="R76" i="1"/>
  <c r="R78" i="1" s="1"/>
  <c r="R82" i="1" s="1"/>
  <c r="R44" i="1"/>
  <c r="R45" i="1" s="1"/>
  <c r="S42" i="1"/>
  <c r="T41" i="1"/>
  <c r="AG42" i="1"/>
  <c r="AH41" i="1"/>
  <c r="AF76" i="1"/>
  <c r="AF78" i="1" s="1"/>
  <c r="AF82" i="1" s="1"/>
  <c r="AF44" i="1"/>
  <c r="AF45" i="1" s="1"/>
  <c r="M96" i="1"/>
  <c r="L97" i="1"/>
  <c r="AS88" i="1"/>
  <c r="AT84" i="1"/>
  <c r="AT86" i="1" s="1"/>
  <c r="N84" i="1"/>
  <c r="N86" i="1" s="1"/>
  <c r="AG76" i="1" l="1"/>
  <c r="AG78" i="1" s="1"/>
  <c r="AG82" i="1" s="1"/>
  <c r="AG44" i="1"/>
  <c r="AG45" i="1" s="1"/>
  <c r="T42" i="1"/>
  <c r="U41" i="1"/>
  <c r="U42" i="1" s="1"/>
  <c r="AH42" i="1"/>
  <c r="AI41" i="1"/>
  <c r="AI42" i="1" s="1"/>
  <c r="AF92" i="1"/>
  <c r="S76" i="1"/>
  <c r="S78" i="1" s="1"/>
  <c r="S82" i="1" s="1"/>
  <c r="S44" i="1"/>
  <c r="S45" i="1" s="1"/>
  <c r="R92" i="1"/>
  <c r="L98" i="1"/>
  <c r="M97" i="1"/>
  <c r="AU81" i="1"/>
  <c r="AU83" i="1" s="1"/>
  <c r="AU101" i="1" s="1"/>
  <c r="AU102" i="1" s="1"/>
  <c r="AT87" i="1"/>
  <c r="AT88" i="1" s="1"/>
  <c r="O81" i="1"/>
  <c r="O83" i="1" s="1"/>
  <c r="O101" i="1" s="1"/>
  <c r="O102" i="1" s="1"/>
  <c r="N87" i="1"/>
  <c r="N88" i="1" s="1"/>
  <c r="AG92" i="1" l="1"/>
  <c r="S92" i="1"/>
  <c r="AI76" i="1"/>
  <c r="AI78" i="1" s="1"/>
  <c r="AI44" i="1"/>
  <c r="AI45" i="1" s="1"/>
  <c r="AH76" i="1"/>
  <c r="AH78" i="1" s="1"/>
  <c r="AH82" i="1" s="1"/>
  <c r="AH44" i="1"/>
  <c r="AH45" i="1" s="1"/>
  <c r="U76" i="1"/>
  <c r="U78" i="1" s="1"/>
  <c r="U82" i="1" s="1"/>
  <c r="U44" i="1"/>
  <c r="U45" i="1" s="1"/>
  <c r="T76" i="1"/>
  <c r="T78" i="1" s="1"/>
  <c r="T82" i="1" s="1"/>
  <c r="T44" i="1"/>
  <c r="T45" i="1" s="1"/>
  <c r="N96" i="1"/>
  <c r="M98" i="1"/>
  <c r="AU84" i="1"/>
  <c r="AU86" i="1" s="1"/>
  <c r="O84" i="1"/>
  <c r="O86" i="1" s="1"/>
  <c r="AH92" i="1" l="1"/>
  <c r="AI92" i="1" s="1"/>
  <c r="T92" i="1"/>
  <c r="U92" i="1" s="1"/>
  <c r="AI86" i="1"/>
  <c r="AL81" i="1" s="1"/>
  <c r="AL83" i="1" s="1"/>
  <c r="AL101" i="1" s="1"/>
  <c r="AL102" i="1" s="1"/>
  <c r="AI82" i="1"/>
  <c r="N97" i="1"/>
  <c r="AV81" i="1"/>
  <c r="AV83" i="1" s="1"/>
  <c r="AV101" i="1" s="1"/>
  <c r="AV102" i="1" s="1"/>
  <c r="AU87" i="1"/>
  <c r="P81" i="1"/>
  <c r="P83" i="1" s="1"/>
  <c r="P101" i="1" s="1"/>
  <c r="P102" i="1" s="1"/>
  <c r="O87" i="1"/>
  <c r="O88" i="1" s="1"/>
  <c r="AL84" i="1" l="1"/>
  <c r="AL86" i="1" s="1"/>
  <c r="AM81" i="1" s="1"/>
  <c r="AM83" i="1" s="1"/>
  <c r="AM101" i="1" s="1"/>
  <c r="AM102" i="1" s="1"/>
  <c r="O96" i="1"/>
  <c r="O97" i="1" s="1"/>
  <c r="N98" i="1"/>
  <c r="AU88" i="1"/>
  <c r="AV84" i="1"/>
  <c r="AV86" i="1" s="1"/>
  <c r="AW81" i="1" s="1"/>
  <c r="AW83" i="1" s="1"/>
  <c r="AW101" i="1" s="1"/>
  <c r="AW102" i="1" s="1"/>
  <c r="P84" i="1"/>
  <c r="P86" i="1" s="1"/>
  <c r="Q81" i="1" s="1"/>
  <c r="Q83" i="1" s="1"/>
  <c r="Q101" i="1" s="1"/>
  <c r="Q102" i="1" s="1"/>
  <c r="AL87" i="1" l="1"/>
  <c r="AL88" i="1" s="1"/>
  <c r="AM84" i="1"/>
  <c r="AM86" i="1" s="1"/>
  <c r="AN81" i="1" s="1"/>
  <c r="AN83" i="1" s="1"/>
  <c r="AN101" i="1" s="1"/>
  <c r="AN102" i="1" s="1"/>
  <c r="P87" i="1"/>
  <c r="P88" i="1" s="1"/>
  <c r="O98" i="1"/>
  <c r="AV87" i="1"/>
  <c r="AW84" i="1"/>
  <c r="AW87" i="1"/>
  <c r="AW88" i="1" s="1"/>
  <c r="Q84" i="1"/>
  <c r="Q86" i="1" s="1"/>
  <c r="R81" i="1" s="1"/>
  <c r="R83" i="1" s="1"/>
  <c r="R101" i="1" s="1"/>
  <c r="R102" i="1" s="1"/>
  <c r="AM87" i="1" l="1"/>
  <c r="AM88" i="1" s="1"/>
  <c r="AN84" i="1"/>
  <c r="AN86" i="1" s="1"/>
  <c r="AO81" i="1" s="1"/>
  <c r="AO83" i="1" s="1"/>
  <c r="AO101" i="1" s="1"/>
  <c r="AO102" i="1" s="1"/>
  <c r="P96" i="1"/>
  <c r="P97" i="1" s="1"/>
  <c r="P98" i="1" s="1"/>
  <c r="AV88" i="1"/>
  <c r="Q87" i="1"/>
  <c r="R84" i="1"/>
  <c r="R86" i="1" s="1"/>
  <c r="S81" i="1" s="1"/>
  <c r="S83" i="1" s="1"/>
  <c r="S101" i="1" s="1"/>
  <c r="S102" i="1" s="1"/>
  <c r="AN87" i="1" l="1"/>
  <c r="AN88" i="1" s="1"/>
  <c r="AO84" i="1"/>
  <c r="AO87" i="1"/>
  <c r="AO88" i="1" s="1"/>
  <c r="Q88" i="1"/>
  <c r="Q96" i="1"/>
  <c r="S84" i="1"/>
  <c r="S86" i="1" s="1"/>
  <c r="T81" i="1" s="1"/>
  <c r="T83" i="1" s="1"/>
  <c r="T101" i="1" s="1"/>
  <c r="T102" i="1" s="1"/>
  <c r="R87" i="1"/>
  <c r="R88" i="1" s="1"/>
  <c r="R96" i="1" l="1"/>
  <c r="Q97" i="1"/>
  <c r="S87" i="1"/>
  <c r="S88" i="1" s="1"/>
  <c r="T84" i="1"/>
  <c r="T86" i="1" s="1"/>
  <c r="Q98" i="1" l="1"/>
  <c r="S96" i="1"/>
  <c r="R97" i="1"/>
  <c r="U81" i="1"/>
  <c r="U83" i="1" s="1"/>
  <c r="T87" i="1"/>
  <c r="T88" i="1" s="1"/>
  <c r="C58" i="1" l="1"/>
  <c r="C59" i="1" s="1"/>
  <c r="C61" i="1" s="1"/>
  <c r="U101" i="1"/>
  <c r="U102" i="1" s="1"/>
  <c r="T96" i="1"/>
  <c r="S97" i="1"/>
  <c r="S98" i="1" s="1"/>
  <c r="R98" i="1"/>
  <c r="U84" i="1"/>
  <c r="U86" i="1" s="1"/>
  <c r="X81" i="1" s="1"/>
  <c r="X83" i="1" s="1"/>
  <c r="X101" i="1" s="1"/>
  <c r="X102" i="1" s="1"/>
  <c r="T97" i="1" l="1"/>
  <c r="U87" i="1"/>
  <c r="X84" i="1"/>
  <c r="X86" i="1" s="1"/>
  <c r="Y81" i="1" s="1"/>
  <c r="Y83" i="1" s="1"/>
  <c r="Y101" i="1" s="1"/>
  <c r="Y102" i="1" s="1"/>
  <c r="F100" i="2" l="1"/>
  <c r="F88" i="2"/>
  <c r="F55" i="2"/>
  <c r="U96" i="1"/>
  <c r="U97" i="1" s="1"/>
  <c r="U98" i="1" s="1"/>
  <c r="T98" i="1"/>
  <c r="X87" i="1"/>
  <c r="X88" i="1" s="1"/>
  <c r="Y84" i="1"/>
  <c r="Y86" i="1" s="1"/>
  <c r="Z81" i="1" s="1"/>
  <c r="Z83" i="1" s="1"/>
  <c r="Z101" i="1" s="1"/>
  <c r="Z102" i="1" s="1"/>
  <c r="U88" i="1"/>
  <c r="F90" i="2" l="1"/>
  <c r="F89" i="2"/>
  <c r="C92" i="2" s="1"/>
  <c r="C93" i="2"/>
  <c r="F101" i="2"/>
  <c r="D92" i="2" s="1"/>
  <c r="F102" i="2"/>
  <c r="D93" i="2"/>
  <c r="F59" i="2"/>
  <c r="C64" i="2" s="1"/>
  <c r="F60" i="2"/>
  <c r="G60" i="2" s="1"/>
  <c r="H60" i="2" s="1"/>
  <c r="I60" i="2" s="1"/>
  <c r="J60" i="2" s="1"/>
  <c r="K60" i="2" s="1"/>
  <c r="L60" i="2" s="1"/>
  <c r="M60" i="2" s="1"/>
  <c r="N60" i="2" s="1"/>
  <c r="O60" i="2" s="1"/>
  <c r="C66" i="2" s="1"/>
  <c r="C65" i="2" s="1" a="1"/>
  <c r="F57" i="2"/>
  <c r="C61" i="2" s="1"/>
  <c r="C63" i="2"/>
  <c r="C16" i="2" s="1"/>
  <c r="X96" i="1"/>
  <c r="Y87" i="1"/>
  <c r="Y88" i="1" s="1"/>
  <c r="Z84" i="1"/>
  <c r="Z86" i="1" s="1"/>
  <c r="AA81" i="1" s="1"/>
  <c r="AA83" i="1" s="1"/>
  <c r="AA101" i="1" s="1"/>
  <c r="AA102" i="1" s="1"/>
  <c r="E93" i="2" l="1"/>
  <c r="E92" i="2"/>
  <c r="C97" i="2"/>
  <c r="G102" i="2"/>
  <c r="H102" i="2" s="1"/>
  <c r="I102" i="2" s="1"/>
  <c r="J102" i="2" s="1"/>
  <c r="K102" i="2" s="1"/>
  <c r="L102" i="2" s="1"/>
  <c r="M102" i="2" s="1"/>
  <c r="N102" i="2" s="1"/>
  <c r="O102" i="2" s="1"/>
  <c r="C96" i="2"/>
  <c r="G90" i="2"/>
  <c r="H90" i="2" s="1"/>
  <c r="I90" i="2" s="1"/>
  <c r="J90" i="2" s="1"/>
  <c r="K90" i="2" s="1"/>
  <c r="L90" i="2" s="1"/>
  <c r="M90" i="2" s="1"/>
  <c r="N90" i="2" s="1"/>
  <c r="O90" i="2" s="1"/>
  <c r="C62" i="2"/>
  <c r="C14" i="2"/>
  <c r="Y96" i="1"/>
  <c r="X97" i="1"/>
  <c r="Z87" i="1"/>
  <c r="Z88" i="1" s="1"/>
  <c r="AA84" i="1"/>
  <c r="AA86" i="1" s="1"/>
  <c r="AB81" i="1" s="1"/>
  <c r="AB83" i="1" s="1"/>
  <c r="AB101" i="1" s="1"/>
  <c r="AB102" i="1" s="1"/>
  <c r="D94" i="2" l="1"/>
  <c r="D95" i="2" s="1" a="1"/>
  <c r="C94" i="2"/>
  <c r="C95" i="2" s="1" a="1"/>
  <c r="X98" i="1"/>
  <c r="Y97" i="1"/>
  <c r="Z96" i="1"/>
  <c r="AA87" i="1"/>
  <c r="AA88" i="1" s="1"/>
  <c r="AB84" i="1"/>
  <c r="AB86" i="1" s="1"/>
  <c r="AC81" i="1" s="1"/>
  <c r="AC83" i="1" s="1"/>
  <c r="AC101" i="1" s="1"/>
  <c r="AC102" i="1" s="1"/>
  <c r="E95" i="2" l="1"/>
  <c r="C98" i="2"/>
  <c r="AA96" i="1"/>
  <c r="Z97" i="1"/>
  <c r="Z98" i="1" s="1"/>
  <c r="Y98" i="1"/>
  <c r="AB87" i="1"/>
  <c r="AB88" i="1" s="1"/>
  <c r="AC84" i="1"/>
  <c r="AC86" i="1" s="1"/>
  <c r="AD81" i="1" s="1"/>
  <c r="AD83" i="1" s="1"/>
  <c r="AD101" i="1" s="1"/>
  <c r="AD102" i="1" s="1"/>
  <c r="AB96" i="1" l="1"/>
  <c r="AA97" i="1"/>
  <c r="AD84" i="1"/>
  <c r="AD86" i="1" s="1"/>
  <c r="AE81" i="1" s="1"/>
  <c r="AE83" i="1" s="1"/>
  <c r="AE101" i="1" s="1"/>
  <c r="AE102" i="1" s="1"/>
  <c r="AC87" i="1"/>
  <c r="AC88" i="1" s="1"/>
  <c r="AC96" i="1" l="1"/>
  <c r="AB97" i="1"/>
  <c r="AB98" i="1" s="1"/>
  <c r="AA98" i="1"/>
  <c r="AE84" i="1"/>
  <c r="AE86" i="1" s="1"/>
  <c r="AF81" i="1" s="1"/>
  <c r="AF83" i="1" s="1"/>
  <c r="AF101" i="1" s="1"/>
  <c r="AF102" i="1" s="1"/>
  <c r="AD96" i="1" l="1"/>
  <c r="AC97" i="1"/>
  <c r="AE87" i="1"/>
  <c r="AE88" i="1" s="1"/>
  <c r="AF84" i="1"/>
  <c r="AF86" i="1" s="1"/>
  <c r="AE96" i="1" l="1"/>
  <c r="AD97" i="1"/>
  <c r="AD98" i="1" s="1"/>
  <c r="AC98" i="1"/>
  <c r="AG81" i="1"/>
  <c r="AG83" i="1" s="1"/>
  <c r="AF87" i="1"/>
  <c r="AF88" i="1" s="1"/>
  <c r="AG84" i="1" l="1"/>
  <c r="AG86" i="1" s="1"/>
  <c r="AH81" i="1" s="1"/>
  <c r="AH83" i="1" s="1"/>
  <c r="AH101" i="1" s="1"/>
  <c r="AH102" i="1" s="1"/>
  <c r="AG101" i="1"/>
  <c r="AG102" i="1" s="1"/>
  <c r="AF96" i="1"/>
  <c r="AE97" i="1"/>
  <c r="AG87" i="1" l="1"/>
  <c r="AG88" i="1" s="1"/>
  <c r="AH84" i="1"/>
  <c r="AH86" i="1" s="1"/>
  <c r="AI81" i="1" s="1"/>
  <c r="AI83" i="1" s="1"/>
  <c r="AI101" i="1" s="1"/>
  <c r="AI102" i="1" s="1"/>
  <c r="AF97" i="1"/>
  <c r="AE98" i="1"/>
  <c r="AI84" i="1" l="1"/>
  <c r="AI87" i="1"/>
  <c r="AI88" i="1" s="1"/>
  <c r="AH87" i="1"/>
  <c r="AH88" i="1" s="1"/>
  <c r="AG96" i="1"/>
  <c r="AF98" i="1"/>
  <c r="AH96" i="1" l="1"/>
  <c r="AH97" i="1" s="1"/>
  <c r="AG97" i="1"/>
  <c r="AG98" i="1" s="1"/>
  <c r="AI96" i="1" l="1"/>
  <c r="AI97" i="1" s="1"/>
  <c r="AH98" i="1"/>
  <c r="AL96" i="1" l="1"/>
  <c r="AL97" i="1" s="1"/>
  <c r="AI98" i="1"/>
  <c r="AM96" i="1" l="1"/>
  <c r="AN96" i="1" s="1"/>
  <c r="AL98" i="1"/>
  <c r="AM97" i="1" l="1"/>
  <c r="AM98" i="1" s="1"/>
  <c r="AN97" i="1"/>
  <c r="AO96" i="1"/>
  <c r="AO97" i="1" l="1"/>
  <c r="AP96" i="1"/>
  <c r="AN98" i="1"/>
  <c r="AP97" i="1" l="1"/>
  <c r="AQ96" i="1"/>
  <c r="AO98" i="1"/>
  <c r="AR96" i="1" l="1"/>
  <c r="AQ97" i="1"/>
  <c r="AP98" i="1"/>
  <c r="AR97" i="1" l="1"/>
  <c r="AS96" i="1"/>
  <c r="AQ98" i="1"/>
  <c r="C34" i="1" l="1"/>
  <c r="AS97" i="1"/>
  <c r="AS98" i="1" s="1"/>
  <c r="AT96" i="1"/>
  <c r="AR98" i="1"/>
  <c r="C35" i="1"/>
  <c r="G107" i="1" l="1"/>
  <c r="P107" i="1"/>
  <c r="AT97" i="1"/>
  <c r="AT98" i="1" s="1"/>
  <c r="AU96" i="1"/>
  <c r="AU97" i="1" l="1"/>
  <c r="AU98" i="1" s="1"/>
  <c r="AV96" i="1"/>
  <c r="AW96" i="1" l="1"/>
  <c r="AW97" i="1" s="1"/>
  <c r="AV97" i="1"/>
  <c r="AW98" i="1" l="1"/>
  <c r="AV98" i="1"/>
  <c r="C43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<sst xmlns="http://schemas.openxmlformats.org/spreadsheetml/2006/main" count="457" uniqueCount="288">
  <si>
    <t>AÑO 1</t>
  </si>
  <si>
    <t>AÑO 2</t>
  </si>
  <si>
    <t>Ago</t>
  </si>
  <si>
    <t>Sep</t>
  </si>
  <si>
    <t>Oct</t>
  </si>
  <si>
    <t>Nov</t>
  </si>
  <si>
    <t>Dic</t>
  </si>
  <si>
    <t>Ene</t>
  </si>
  <si>
    <t>Feb</t>
  </si>
  <si>
    <t>Mar</t>
  </si>
  <si>
    <t>Abr</t>
  </si>
  <si>
    <t>May</t>
  </si>
  <si>
    <t>Jun</t>
  </si>
  <si>
    <t>Jul</t>
  </si>
  <si>
    <t>Ventas</t>
  </si>
  <si>
    <t>Ticket Promedio</t>
  </si>
  <si>
    <t>Cubiertos</t>
  </si>
  <si>
    <t>Ramp - up</t>
  </si>
  <si>
    <t>Porcentaje CMV</t>
  </si>
  <si>
    <t>Costo Delivery</t>
  </si>
  <si>
    <t>Costos Variables</t>
  </si>
  <si>
    <t>Costo de mercadería</t>
  </si>
  <si>
    <t>Gastos Adición</t>
  </si>
  <si>
    <t>Costo delivery</t>
  </si>
  <si>
    <t>Gastos adición</t>
  </si>
  <si>
    <t>Com. / Impuestos</t>
  </si>
  <si>
    <t>Mantenimiento</t>
  </si>
  <si>
    <t>Marketing</t>
  </si>
  <si>
    <t>Bazar</t>
  </si>
  <si>
    <t>Inversión</t>
  </si>
  <si>
    <t>Márgen Bruto</t>
  </si>
  <si>
    <t>ARS</t>
  </si>
  <si>
    <t>%</t>
  </si>
  <si>
    <t>Gastos Operativos</t>
  </si>
  <si>
    <t>Honorarios</t>
  </si>
  <si>
    <t>Costos Estructura</t>
  </si>
  <si>
    <t>RRHH</t>
  </si>
  <si>
    <t>Costo Locativo</t>
  </si>
  <si>
    <t>Servicios públicos</t>
  </si>
  <si>
    <t>Previsión aguinaldo</t>
  </si>
  <si>
    <t>Dirección Operativa</t>
  </si>
  <si>
    <t>EBITDA</t>
  </si>
  <si>
    <t>Depreciaciones</t>
  </si>
  <si>
    <t>VER CUSTOMER JOURNEY + FUNNEL</t>
  </si>
  <si>
    <t>EBIT</t>
  </si>
  <si>
    <t>Impuestos</t>
  </si>
  <si>
    <t>RESULTADO NETO</t>
  </si>
  <si>
    <t>Reserva para despidos</t>
  </si>
  <si>
    <t>TC</t>
  </si>
  <si>
    <t>Dias del mes</t>
  </si>
  <si>
    <t>Cash Flow</t>
  </si>
  <si>
    <t>Unidad</t>
  </si>
  <si>
    <t>USD</t>
  </si>
  <si>
    <t>+DA</t>
  </si>
  <si>
    <t>+Delta NOF</t>
  </si>
  <si>
    <t>-Inversión en NOF</t>
  </si>
  <si>
    <t>Caja necesaria</t>
  </si>
  <si>
    <t>Dias</t>
  </si>
  <si>
    <t>Clientes</t>
  </si>
  <si>
    <t>-CAPEX</t>
  </si>
  <si>
    <t>-Otros A&amp;P operativos (reserva para despidos) Chequear si va DELTA</t>
  </si>
  <si>
    <t>FFL</t>
  </si>
  <si>
    <t>Requerimientos para cubrir deficit</t>
  </si>
  <si>
    <t>Excedente de caja disponible</t>
  </si>
  <si>
    <t>Excedente de caja retenido</t>
  </si>
  <si>
    <t>Caja Acumulada</t>
  </si>
  <si>
    <t>Reserva para Desp</t>
  </si>
  <si>
    <t>Prevision Aguinaldo</t>
  </si>
  <si>
    <t>Prevision Impuestos</t>
  </si>
  <si>
    <t>INPUTS PARA NOF</t>
  </si>
  <si>
    <t>Caja Necesaria</t>
  </si>
  <si>
    <t>Acumulado Aguinaldo</t>
  </si>
  <si>
    <t>Hasta que monto previsionamos?</t>
  </si>
  <si>
    <t>APORTES NECESARIOS</t>
  </si>
  <si>
    <t>Se Reparte Dividendos este mes?</t>
  </si>
  <si>
    <t>NO</t>
  </si>
  <si>
    <t>Si</t>
  </si>
  <si>
    <t>No</t>
  </si>
  <si>
    <t>FFL to Equity</t>
  </si>
  <si>
    <t>Año 0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</si>
  <si>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</si>
  <si>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</si>
  <si>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</si>
  <si>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</si>
  <si>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</si>
  <si>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</si>
  <si>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</si>
  <si>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</si>
  <si>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</si>
  <si>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</si>
  <si>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Evolución esperada del riesgo país</t>
  </si>
  <si>
    <t>Kwacc</t>
  </si>
  <si>
    <t>Año 11</t>
  </si>
  <si>
    <t>Ronic</t>
  </si>
  <si>
    <t>TRI</t>
  </si>
  <si>
    <t>g</t>
  </si>
  <si>
    <t>Factor de descuento</t>
  </si>
  <si>
    <t>VAN</t>
  </si>
  <si>
    <t>TIR</t>
  </si>
  <si>
    <t>TASAS DE DESCUENTO</t>
  </si>
  <si>
    <t>Kd</t>
  </si>
  <si>
    <t>Beta desapalancada</t>
  </si>
  <si>
    <t>Ku</t>
  </si>
  <si>
    <t>Beta re-apalancada</t>
  </si>
  <si>
    <t>Ke</t>
  </si>
  <si>
    <t>D/V</t>
  </si>
  <si>
    <t>t</t>
  </si>
  <si>
    <t>INPUTS PARA TASA DESCUENTO</t>
  </si>
  <si>
    <t>Bonos de tesoro USA - 10Y</t>
  </si>
  <si>
    <t>Beta aplancada de la industria</t>
  </si>
  <si>
    <t>Damodaran - Restaurant Dining</t>
  </si>
  <si>
    <t>D/V de la industria</t>
  </si>
  <si>
    <t>Riesgo País</t>
  </si>
  <si>
    <t>Prima de riesgo mercado</t>
  </si>
  <si>
    <t>Damodaran</t>
  </si>
  <si>
    <t>Prima de riesgo no pago de la deuda</t>
  </si>
  <si>
    <t>Risk Free Rate</t>
  </si>
  <si>
    <t>Prima de riesgo país</t>
  </si>
  <si>
    <t>JPMORGAN EMBI+</t>
  </si>
  <si>
    <t>Bu</t>
  </si>
  <si>
    <t>ERP</t>
  </si>
  <si>
    <t>Wacc</t>
  </si>
  <si>
    <t>Prima por Iliquidez</t>
  </si>
  <si>
    <t>Prima por empresa chica</t>
  </si>
  <si>
    <t>CAPEX</t>
  </si>
  <si>
    <t>CAJA Operativa</t>
  </si>
  <si>
    <t>INV. Requerida</t>
  </si>
  <si>
    <t>Precision Cubiertos</t>
  </si>
  <si>
    <t>Proyeccion Ventas</t>
  </si>
  <si>
    <t>Payback</t>
  </si>
  <si>
    <t>Sensibilidad del VAN contra Ventas y Ticket Promedio</t>
  </si>
  <si>
    <t>CASA ORTIZ</t>
  </si>
  <si>
    <t>Precision Ventas Proyectadas</t>
  </si>
  <si>
    <t>Meses</t>
  </si>
  <si>
    <t>Payback Logrado?</t>
  </si>
  <si>
    <t>Payback (meses)</t>
  </si>
  <si>
    <t>Mes de Payback</t>
  </si>
  <si>
    <t>Ver el Ramp Up de ventas</t>
  </si>
  <si>
    <t>Ver si las ventas crecen en año 2 y subsiguientes</t>
  </si>
  <si>
    <t>Ver días de caja necesaria</t>
  </si>
  <si>
    <t>Ver días de clientes</t>
  </si>
  <si>
    <t>Ver días de proveedores</t>
  </si>
  <si>
    <t>Ver comisiones / Impuestos</t>
  </si>
  <si>
    <t>En qué momento se pagan?</t>
  </si>
  <si>
    <t>Ver impueso a las ganancias</t>
  </si>
  <si>
    <t>Puse 10%, cuánto puede ser?</t>
  </si>
  <si>
    <t>Ver Ticket Promedio</t>
  </si>
  <si>
    <t>Ver Prevision para despidos</t>
  </si>
  <si>
    <t>Ver monto servicios públicos</t>
  </si>
  <si>
    <t>Ver estructura de bonos</t>
  </si>
  <si>
    <t>No hay nada puesto, cómo lo pensaron esto?</t>
  </si>
  <si>
    <t>Cuánto hay que guardar de esto?</t>
  </si>
  <si>
    <t>Ver items como inversión, bazar, etc</t>
  </si>
  <si>
    <t>Ver RRHH</t>
  </si>
  <si>
    <t xml:space="preserve">El marketing debiera ir como costo fijo. Si vendés CERO, entonces invertís cero en MKT? </t>
  </si>
  <si>
    <t>Chequear CAPEX final</t>
  </si>
  <si>
    <t>ITEM</t>
  </si>
  <si>
    <t>Inputs Gastón</t>
  </si>
  <si>
    <t>Nota Diego</t>
  </si>
  <si>
    <t>Puse ventas constantes, pero asumo que el segundo año si todo va bien hay lugar para crecer en ventas.</t>
  </si>
  <si>
    <t>Hay que ver bien cuándo entra la guita. Si hay un porcentaje de comisión de 11% en el EERR, eso es porque reciben la guita en el momento y ahí están las comisiones por ello?</t>
  </si>
  <si>
    <t>Hay que ver a cuántos días se les puede pagar a los proveedores, particularmente a los de materia prima. Los empleados y costos fijos como alquiiler asumimos son a mes vencido.</t>
  </si>
  <si>
    <t>Este item es bastante crítico. Ver análisis de sensibilidad.</t>
  </si>
  <si>
    <t>Hasta qué monto guardamos? Esto debiera ir a una cuenta remunerada en dólares.</t>
  </si>
  <si>
    <t xml:space="preserve">Está fijo en 6.800.000, debiera ser variable con actividad. Ver cómo calzan los pagos porque impacta en los primeros meses en la caja necesaria para arrancar. </t>
  </si>
  <si>
    <t>Entender cómo funciona la cantidad de gente y si hay aumento temporal durante temporada alta. Puse 60 millones para redondear. REVISAR!</t>
  </si>
  <si>
    <t>Tienen hecho esto para el CDB?</t>
  </si>
  <si>
    <t>Puse un modificador para llegar a los clientes esperados. Estaba puesto como que arranca el primer mes al palo. Lo más probable es que no arranquemos el 1 del mes, o que tarde unos meses en venir la clientela que queremos.</t>
  </si>
  <si>
    <t>Quién maneja esto? Habría que invertir más al inicio para darse a conocer.</t>
  </si>
  <si>
    <t>Revisar cada item y linea del EERR y el Cashflow</t>
  </si>
  <si>
    <t>Prevision de aguinaldos</t>
  </si>
  <si>
    <t xml:space="preserve">Debiera ir a una cuenta money market o similar. </t>
  </si>
  <si>
    <t>Prevision de impuestos</t>
  </si>
  <si>
    <t>Debiera ir a una cuenta money market o similar. En pesos o en usd? Si el dólar baja y está en usd cagamos, viceversa ganamos.</t>
  </si>
  <si>
    <t>Anticipos de ganancias</t>
  </si>
  <si>
    <t>Esto no está contemplado</t>
  </si>
  <si>
    <t>IVA</t>
  </si>
  <si>
    <t>Esto tampoco está contemplado. Entender bien el manejo de esto y como impacta.</t>
  </si>
  <si>
    <t>TIPO de cambio</t>
  </si>
  <si>
    <t>Lo dejé constante. Lo más probable es que baje, mejorando los ingresos en dólares. Por simplicidad lo dejaría fijo.</t>
  </si>
  <si>
    <t>Ramp - up Nómina</t>
  </si>
  <si>
    <t>Nomina Full</t>
  </si>
  <si>
    <t>Com. / Impuestos (Incluye Iva)</t>
  </si>
  <si>
    <t>IIGG</t>
  </si>
  <si>
    <t>Es 5</t>
  </si>
  <si>
    <t>Sensibilidad del VAN contra Nomina y CMV</t>
  </si>
  <si>
    <t>Gasto de Nómina</t>
  </si>
  <si>
    <t>CMV</t>
  </si>
  <si>
    <t>Topear en 10.000 usd</t>
  </si>
  <si>
    <t>Ya lo vimos</t>
  </si>
  <si>
    <t>WACC Año 1</t>
  </si>
  <si>
    <t>Estado de Resultados</t>
  </si>
  <si>
    <t>Costos Fijos Mensuales (ARS)</t>
  </si>
  <si>
    <t>Servicios Públicos</t>
  </si>
  <si>
    <t>CÓDIGO DE COLORES</t>
  </si>
  <si>
    <t>Inputs (se pueden editar)</t>
  </si>
  <si>
    <t>Fórmulas / cálculos</t>
  </si>
  <si>
    <t>Links a otra hoja</t>
  </si>
  <si>
    <t>Links a otro archivo</t>
  </si>
  <si>
    <t>NECESIDAD DE CAJA INICIAL (RAMP-UP)</t>
  </si>
  <si>
    <t>Caja operativa más baja (mes 2)</t>
  </si>
  <si>
    <t>Caja inicial MÍNIMA requerida</t>
  </si>
  <si>
    <t>Caja inicial presupuestada</t>
  </si>
  <si>
    <t>Margen de seguridad</t>
  </si>
  <si>
    <t>Base imp. acumulada</t>
  </si>
  <si>
    <t>Tasa anual</t>
  </si>
  <si>
    <t>═══ MOTOR DE VALUACIÓN ACTUALIZADO ═══</t>
  </si>
  <si>
    <t>Crecimiento real anual (g)</t>
  </si>
  <si>
    <t>Ke de régimen</t>
  </si>
  <si>
    <t>Otros costos variables (% vta)</t>
  </si>
  <si>
    <t>Margen de contribución</t>
  </si>
  <si>
    <t>Valor Terminal (ON/OFF)</t>
  </si>
  <si>
    <t>Costo fijo anual (USD)</t>
  </si>
  <si>
    <t>Alquiler anual (USD)</t>
  </si>
  <si>
    <t>Ventas (USD)</t>
  </si>
  <si>
    <t>EBIT (USD)</t>
  </si>
  <si>
    <t>IIGG (USD)</t>
  </si>
  <si>
    <t>Reserva despidos (USD)</t>
  </si>
  <si>
    <t>NOF (USD)</t>
  </si>
  <si>
    <t>Δ NOF (USD)</t>
  </si>
  <si>
    <t>FFL al equity (USD)</t>
  </si>
  <si>
    <t>Valor presente FFL</t>
  </si>
  <si>
    <t>Valor terminal (año 10)</t>
  </si>
  <si>
    <t>FFL + VT (TIR c/term)</t>
  </si>
  <si>
    <t>Caja acumulada (FFL)</t>
  </si>
  <si>
    <t>VAN sin terminal</t>
  </si>
  <si>
    <t>VAN con terminal</t>
  </si>
  <si>
    <t>TIR sin terminal</t>
  </si>
  <si>
    <t>TIR con terminal</t>
  </si>
  <si>
    <t>(años con caja negativa)</t>
  </si>
  <si>
    <t>→ Motor de valuación actualizado en fila 40</t>
  </si>
  <si>
    <t>OFF</t>
  </si>
  <si>
    <t>SUPUESTOS DE VALUACIÓN</t>
  </si>
  <si>
    <t>Crecimiento real anual</t>
  </si>
  <si>
    <t>Reserva Despidos (%)</t>
  </si>
  <si>
    <t>Colchón seguridad (%)</t>
  </si>
  <si>
    <t>CAJA OPERATIVA ÓPTIMA POR MES</t>
  </si>
  <si>
    <t>Caja operativa óptima (NOF + colchón)</t>
  </si>
  <si>
    <t>Caja real (acumulada)</t>
  </si>
  <si>
    <t>Excedente sobre lo óptimo</t>
  </si>
  <si>
    <t>Inventario</t>
  </si>
  <si>
    <t>15 dias</t>
  </si>
  <si>
    <t>Reinversion de capex, dejarlo mensual. Va a 30 dias</t>
  </si>
  <si>
    <t>anticipado</t>
  </si>
  <si>
    <t>Proveedores a 30</t>
  </si>
  <si>
    <t>Proveedores a 15</t>
  </si>
  <si>
    <t>Alquiler anticipado</t>
  </si>
  <si>
    <t>Mes</t>
  </si>
  <si>
    <t>Diario, no va en NOF</t>
  </si>
  <si>
    <t>═══ VALOR ACUERDO CERVECERÍA ═══</t>
  </si>
  <si>
    <t>Cerveza por entrega (ARS)</t>
  </si>
  <si>
    <t>Frecuencia (años)</t>
  </si>
  <si>
    <t>Entrega? (1/0)</t>
  </si>
  <si>
    <t>Esc 1 — Valor presente</t>
  </si>
  <si>
    <t>Esc 2 — Valor presente</t>
  </si>
  <si>
    <t>VALOR ESC 1 (cerveza a costo)</t>
  </si>
  <si>
    <t>VALOR ESC 2 (cerveza a precio venta)</t>
  </si>
  <si>
    <t>Prob. de renovación (%)</t>
  </si>
  <si>
    <t>Esc 1 — Beneficio esperado (pond. renov.)</t>
  </si>
  <si>
    <t>Esc 2 — Beneficio esperado (pond. renov.)</t>
  </si>
  <si>
    <t>ESTRUCTURA DE CAPITAL — Deuda (editable)</t>
  </si>
  <si>
    <t>Monto deuda (USD)</t>
  </si>
  <si>
    <t>Plazo (años)</t>
  </si>
  <si>
    <t>Devolución año 1 (capital + interés)</t>
  </si>
  <si>
    <t>Deuda / Capital total (D/V)</t>
  </si>
  <si>
    <t>FFL c/renovación (USD)</t>
  </si>
  <si>
    <t>VP FFL renovación</t>
  </si>
  <si>
    <t>VAN renovación (s/terminal)</t>
  </si>
  <si>
    <t>TIR renovación (s/terminal)</t>
  </si>
  <si>
    <t>Tasa de renovación (Kd)</t>
  </si>
  <si>
    <t>Años con caja negativa</t>
  </si>
  <si>
    <t>Payback renovación (meses)</t>
  </si>
  <si>
    <t>═══ ESCENARIO RENOVACIÓN — inputs locales (no afecta el modelo base) ═══</t>
  </si>
  <si>
    <t>Inversión total (USD)</t>
  </si>
  <si>
    <t>Deuda (USD)</t>
  </si>
  <si>
    <t>Interés anual = Deuda × Kd</t>
  </si>
  <si>
    <t>Caja acumulada</t>
  </si>
  <si>
    <t>FFL c/devolución año 1 (USD)</t>
  </si>
  <si>
    <t>VP FFL devolución año 1</t>
  </si>
  <si>
    <t>Caja acumulada (devolución)</t>
  </si>
  <si>
    <t>Renovación</t>
  </si>
  <si>
    <t>Devolución año 1</t>
  </si>
  <si>
    <t>Δ (Renov−Devol)</t>
  </si>
  <si>
    <t>Δ VAN: Renov vs. modelo original (132k@8%)</t>
  </si>
  <si>
    <t>Δ TIR: Renov vs. modelo original</t>
  </si>
  <si>
    <t>Δ Payback: Renov vs. modelo original (meses)</t>
  </si>
  <si>
    <t>Bruno Bonnano</t>
  </si>
  <si>
    <t>Previsiona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</si>
</sst>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(&quot;$&quot;\ * #,##0.00_);_(&quot;$&quot;\ * \(#,##0.00\);_(&quot;$&quot;\ * &quot;-&quot;??_);_(@_)"/>
    <numFmt numFmtId="165" formatCode="_(* #,##0.00_);_(* \(#,##0.00\);_(* &quot;-&quot;??_);_(@_)"/>
    <numFmt numFmtId="166" formatCode="&quot;$&quot;\ #,##0"/>
    <numFmt numFmtId="167" formatCode="0.0%"/>
    <numFmt numFmtId="168" formatCode="_(&quot;$&quot;\ * #,##0_);_(&quot;$&quot;\ * \(#,##0\);_(&quot;$&quot;\ * &quot;-&quot;??_);_(@_)"/>
    <numFmt numFmtId="169" formatCode="_(* #,##0_);_(* \(#,##0\);_(* &quot;-&quot;??_);_(@_)"/>
    <numFmt numFmtId="170" formatCode="[$USD]\ #,##0_);\([$USD]\ #,##0\)"/>
    <numFmt numFmtId="171" formatCode="[$USD]\ #,##0"/>
    <numFmt numFmtId="172" formatCode="[$USD]\ #,##0;\([$USD]\ #,##0\)"/>
    <numFmt numFmtId="173" formatCode="0.0"/>
    <numFmt numFmtId="174" formatCode="&quot;$&quot;#,##0;\(&quot;$&quot;#,##0\);\-"/>
    <numFmt numFmtId="175" formatCode="&quot;$&quot;#,##0"/>
    <numFmt numFmtId="176" formatCode="&quot;$&quot;#,##0.0"/>
  </numFmts>
  <fonts count="45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4"/>
      <name val="Calibri"/>
      <family val="2"/>
      <scheme val="minor"/>
    </font>
    <font>
      <sz val="11"/>
      <color theme="4"/>
      <name val="Calibri"/>
      <family val="2"/>
      <scheme val="minor"/>
    </font>
    <font>
      <b/>
      <sz val="16"/>
      <color theme="8" tint="-0.249977111117893"/>
      <name val="Calibri"/>
      <family val="2"/>
      <scheme val="minor"/>
    </font>
    <font>
      <b/>
      <sz val="12"/>
      <color theme="8" tint="-0.249977111117893"/>
      <name val="Calibri"/>
      <family val="2"/>
      <scheme val="minor"/>
    </font>
    <font>
      <sz val="12"/>
      <color theme="0" tint="-0.499984740745262"/>
      <name val="Calibri"/>
      <family val="2"/>
      <scheme val="minor"/>
    </font>
    <font>
      <sz val="11"/>
      <color theme="3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2"/>
      <color theme="3"/>
      <name val="Calibri"/>
      <family val="2"/>
      <scheme val="minor"/>
    </font>
    <font>
      <b/>
      <sz val="11"/>
      <color rgb="FF4472C4"/>
      <name val="Calibri"/>
      <family val="2"/>
      <scheme val="minor"/>
    </font>
    <font>
      <sz val="11"/>
      <color rgb="FF0000FF"/>
      <name val="Calibri"/>
      <family val="2"/>
      <scheme val="minor"/>
    </font>
    <font>
      <b/>
      <sz val="11"/>
      <color rgb="FF0000FF"/>
      <name val="Calibri"/>
      <family val="2"/>
      <scheme val="minor"/>
    </font>
    <font>
      <sz val="12"/>
      <color rgb="FF0000FF"/>
      <name val="Calibri"/>
      <family val="2"/>
      <scheme val="minor"/>
    </font>
    <font>
      <i/>
      <sz val="11"/>
      <color rgb="FF0000FF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i/>
      <sz val="12"/>
      <color rgb="FF0000FF"/>
      <name val="Calibri"/>
      <family val="2"/>
      <scheme val="minor"/>
    </font>
    <font>
      <b/>
      <sz val="12"/>
      <color rgb="FF0000FF"/>
      <name val="Calibri"/>
      <family val="2"/>
      <scheme val="minor"/>
    </font>
    <font>
      <sz val="12"/>
      <color rgb="FF008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b/>
      <sz val="11"/>
      <color rgb="FF008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b/>
      <sz val="11"/>
      <color rgb="FF2F75B5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546A"/>
        <bgColor indexed="64"/>
      </patternFill>
    </fill>
    <fill>
      <patternFill patternType="solid">
        <fgColor rgb="FFFCE4D6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8" tint="-0.249977111117893"/>
      </top>
      <bottom/>
      <diagonal/>
    </border>
    <border>
      <left style="medium">
        <color theme="8" tint="-0.249977111117893"/>
      </left>
      <right/>
      <top style="medium">
        <color theme="8" tint="-0.249977111117893"/>
      </top>
      <bottom style="medium">
        <color theme="8" tint="-0.249977111117893"/>
      </bottom>
      <diagonal/>
    </border>
    <border>
      <left/>
      <right style="medium">
        <color theme="8" tint="-0.249977111117893"/>
      </right>
      <top style="medium">
        <color theme="8" tint="-0.249977111117893"/>
      </top>
      <bottom style="medium">
        <color theme="8" tint="-0.249977111117893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165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0" fontId="3" fillId="0" borderId="0"/>
    <xf numFmtId="0" fontId="1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237">
    <xf numFmtId="0" fontId="0" fillId="0" borderId="0" xfId="0"/>
    <xf numFmtId="0" fontId="0" fillId="2" borderId="0" xfId="0" applyFill="1"/>
    <xf numFmtId="0" fontId="6" fillId="3" borderId="0" xfId="0" applyFont="1" applyFill="1"/>
    <xf numFmtId="0" fontId="7" fillId="3" borderId="0" xfId="0" applyFont="1" applyFill="1"/>
    <xf numFmtId="0" fontId="0" fillId="0" borderId="0" xfId="0" applyAlignment="1">
      <alignment horizontal="center"/>
    </xf>
    <xf numFmtId="0" fontId="8" fillId="2" borderId="0" xfId="0" applyFont="1" applyFill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9" fillId="0" borderId="1" xfId="0" applyFont="1" applyBorder="1" applyAlignment="1">
      <alignment horizontal="center"/>
    </xf>
    <xf numFmtId="0" fontId="9" fillId="0" borderId="0" xfId="0" applyFont="1" applyAlignment="1">
      <alignment horizontal="center"/>
    </xf>
    <xf numFmtId="0" fontId="10" fillId="0" borderId="1" xfId="0" applyFont="1" applyBorder="1"/>
    <xf numFmtId="166" fontId="0" fillId="0" borderId="0" xfId="0" applyNumberFormat="1"/>
    <xf numFmtId="0" fontId="9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1" xfId="0" applyBorder="1"/>
    <xf numFmtId="0" fontId="0" fillId="0" borderId="1" xfId="0" quotePrefix="1" applyBorder="1" applyAlignment="1">
      <alignment horizontal="center"/>
    </xf>
    <xf numFmtId="0" fontId="0" fillId="4" borderId="0" xfId="0" applyFill="1"/>
    <xf numFmtId="166" fontId="9" fillId="0" borderId="0" xfId="0" applyNumberFormat="1" applyFont="1"/>
    <xf numFmtId="0" fontId="3" fillId="0" borderId="0" xfId="3"/>
    <xf numFmtId="166" fontId="3" fillId="0" borderId="0" xfId="3" applyNumberFormat="1"/>
    <xf numFmtId="0" fontId="3" fillId="0" borderId="0" xfId="3" quotePrefix="1"/>
    <xf numFmtId="168" fontId="3" fillId="0" borderId="0" xfId="3" applyNumberFormat="1"/>
    <xf numFmtId="0" fontId="13" fillId="0" borderId="0" xfId="3" quotePrefix="1" applyFont="1"/>
    <xf numFmtId="0" fontId="13" fillId="0" borderId="0" xfId="3" applyFont="1"/>
    <xf numFmtId="0" fontId="4" fillId="0" borderId="4" xfId="3" applyFont="1" applyBorder="1"/>
    <xf numFmtId="0" fontId="3" fillId="0" borderId="4" xfId="3" applyBorder="1"/>
    <xf numFmtId="168" fontId="0" fillId="0" borderId="0" xfId="0" applyNumberFormat="1"/>
    <xf numFmtId="0" fontId="14" fillId="5" borderId="0" xfId="0" applyFont="1" applyFill="1"/>
    <xf numFmtId="0" fontId="2" fillId="4" borderId="0" xfId="3" applyFont="1" applyFill="1"/>
    <xf numFmtId="0" fontId="2" fillId="0" borderId="0" xfId="3" applyFont="1"/>
    <xf numFmtId="0" fontId="8" fillId="4" borderId="0" xfId="0" applyFont="1" applyFill="1"/>
    <xf numFmtId="0" fontId="12" fillId="0" borderId="1" xfId="3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8" fontId="8" fillId="0" borderId="0" xfId="0" applyNumberFormat="1" applyFont="1" applyAlignment="1">
      <alignment horizontal="center"/>
    </xf>
    <xf numFmtId="0" fontId="8" fillId="0" borderId="0" xfId="0" applyFont="1"/>
    <xf numFmtId="0" fontId="17" fillId="6" borderId="0" xfId="0" applyFont="1" applyFill="1" applyAlignment="1">
      <alignment horizontal="center"/>
    </xf>
    <xf numFmtId="0" fontId="18" fillId="6" borderId="0" xfId="0" applyFont="1" applyFill="1" applyAlignment="1">
      <alignment horizontal="center"/>
    </xf>
    <xf numFmtId="0" fontId="1" fillId="0" borderId="0" xfId="4"/>
    <xf numFmtId="0" fontId="1" fillId="0" borderId="0" xfId="4" applyAlignment="1">
      <alignment horizontal="center" vertical="center"/>
    </xf>
    <xf numFmtId="0" fontId="11" fillId="0" borderId="3" xfId="4" applyFont="1" applyBorder="1" applyAlignment="1">
      <alignment horizontal="left"/>
    </xf>
    <xf numFmtId="0" fontId="12" fillId="0" borderId="3" xfId="4" applyFont="1" applyBorder="1" applyAlignment="1">
      <alignment horizontal="center"/>
    </xf>
    <xf numFmtId="0" fontId="19" fillId="0" borderId="0" xfId="4" applyFont="1"/>
    <xf numFmtId="168" fontId="1" fillId="0" borderId="0" xfId="4" applyNumberFormat="1"/>
    <xf numFmtId="9" fontId="19" fillId="0" borderId="0" xfId="4" applyNumberFormat="1" applyFont="1"/>
    <xf numFmtId="0" fontId="4" fillId="0" borderId="0" xfId="4" applyFont="1"/>
    <xf numFmtId="0" fontId="13" fillId="0" borderId="0" xfId="4" applyFont="1"/>
    <xf numFmtId="0" fontId="1" fillId="4" borderId="0" xfId="4" applyFill="1"/>
    <xf numFmtId="0" fontId="4" fillId="0" borderId="4" xfId="4" applyFont="1" applyBorder="1"/>
    <xf numFmtId="0" fontId="1" fillId="0" borderId="4" xfId="4" applyBorder="1"/>
    <xf numFmtId="0" fontId="4" fillId="5" borderId="0" xfId="4" applyFont="1" applyFill="1" applyAlignment="1">
      <alignment horizontal="center"/>
    </xf>
    <xf numFmtId="2" fontId="1" fillId="0" borderId="0" xfId="4" applyNumberFormat="1"/>
    <xf numFmtId="0" fontId="4" fillId="0" borderId="5" xfId="4" applyFont="1" applyBorder="1"/>
    <xf numFmtId="0" fontId="15" fillId="8" borderId="0" xfId="4" applyFont="1" applyFill="1"/>
    <xf numFmtId="0" fontId="16" fillId="8" borderId="0" xfId="4" applyFont="1" applyFill="1"/>
    <xf numFmtId="169" fontId="0" fillId="0" borderId="0" xfId="7" applyNumberFormat="1" applyFont="1"/>
    <xf numFmtId="0" fontId="4" fillId="0" borderId="3" xfId="4" applyFont="1" applyBorder="1"/>
    <xf numFmtId="10" fontId="1" fillId="0" borderId="0" xfId="4" applyNumberFormat="1"/>
    <xf numFmtId="165" fontId="0" fillId="0" borderId="0" xfId="7" applyFont="1"/>
    <xf numFmtId="167" fontId="20" fillId="0" borderId="0" xfId="6" applyNumberFormat="1" applyFont="1"/>
    <xf numFmtId="0" fontId="21" fillId="0" borderId="0" xfId="4" applyFont="1"/>
    <xf numFmtId="10" fontId="20" fillId="0" borderId="0" xfId="6" applyNumberFormat="1" applyFont="1"/>
    <xf numFmtId="9" fontId="0" fillId="0" borderId="0" xfId="6" applyFont="1" applyBorder="1" applyAlignment="1">
      <alignment horizontal="center"/>
    </xf>
    <xf numFmtId="0" fontId="4" fillId="0" borderId="2" xfId="4" applyFont="1" applyBorder="1"/>
    <xf numFmtId="10" fontId="4" fillId="0" borderId="0" xfId="4" applyNumberFormat="1" applyFont="1"/>
    <xf numFmtId="0" fontId="4" fillId="0" borderId="0" xfId="4" applyFont="1" applyAlignment="1">
      <alignment horizontal="right"/>
    </xf>
    <xf numFmtId="0" fontId="12" fillId="0" borderId="0" xfId="4" applyFont="1" applyAlignment="1">
      <alignment horizontal="center"/>
    </xf>
    <xf numFmtId="169" fontId="16" fillId="0" borderId="0" xfId="7" applyNumberFormat="1" applyFont="1" applyFill="1" applyBorder="1"/>
    <xf numFmtId="169" fontId="0" fillId="0" borderId="0" xfId="7" applyNumberFormat="1" applyFont="1" applyFill="1" applyBorder="1"/>
    <xf numFmtId="165" fontId="0" fillId="0" borderId="0" xfId="7" applyFont="1" applyFill="1" applyBorder="1"/>
    <xf numFmtId="0" fontId="22" fillId="3" borderId="0" xfId="0" applyFont="1" applyFill="1" applyAlignment="1">
      <alignment horizontal="center"/>
    </xf>
    <xf numFmtId="9" fontId="22" fillId="3" borderId="0" xfId="0" applyNumberFormat="1" applyFont="1" applyFill="1" applyAlignment="1">
      <alignment horizontal="center"/>
    </xf>
    <xf numFmtId="164" fontId="22" fillId="3" borderId="0" xfId="0" applyNumberFormat="1" applyFont="1" applyFill="1" applyAlignment="1">
      <alignment horizontal="center"/>
    </xf>
    <xf numFmtId="0" fontId="4" fillId="2" borderId="0" xfId="0" applyFont="1" applyFill="1"/>
    <xf numFmtId="0" fontId="1" fillId="2" borderId="0" xfId="0" applyFont="1" applyFill="1"/>
    <xf numFmtId="0" fontId="0" fillId="7" borderId="7" xfId="0" applyFill="1" applyBorder="1"/>
    <xf numFmtId="0" fontId="0" fillId="7" borderId="2" xfId="0" applyFill="1" applyBorder="1"/>
    <xf numFmtId="0" fontId="0" fillId="7" borderId="8" xfId="0" applyFill="1" applyBorder="1"/>
    <xf numFmtId="0" fontId="0" fillId="7" borderId="9" xfId="0" applyFill="1" applyBorder="1"/>
    <xf numFmtId="0" fontId="0" fillId="7" borderId="0" xfId="0" applyFill="1"/>
    <xf numFmtId="0" fontId="0" fillId="7" borderId="10" xfId="0" applyFill="1" applyBorder="1"/>
    <xf numFmtId="0" fontId="0" fillId="0" borderId="11" xfId="0" applyBorder="1"/>
    <xf numFmtId="0" fontId="0" fillId="0" borderId="12" xfId="0" applyBorder="1"/>
    <xf numFmtId="0" fontId="9" fillId="2" borderId="0" xfId="0" applyFont="1" applyFill="1"/>
    <xf numFmtId="166" fontId="9" fillId="2" borderId="0" xfId="0" applyNumberFormat="1" applyFont="1" applyFill="1" applyAlignment="1">
      <alignment horizontal="center"/>
    </xf>
    <xf numFmtId="0" fontId="9" fillId="5" borderId="0" xfId="0" applyFont="1" applyFill="1"/>
    <xf numFmtId="0" fontId="22" fillId="3" borderId="0" xfId="0" applyFont="1" applyFill="1" applyAlignment="1">
      <alignment horizontal="left"/>
    </xf>
    <xf numFmtId="0" fontId="0" fillId="10" borderId="0" xfId="0" applyFill="1"/>
    <xf numFmtId="0" fontId="0" fillId="10" borderId="0" xfId="0" applyFill="1" applyAlignment="1">
      <alignment horizont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4" fillId="4" borderId="0" xfId="0" applyFont="1" applyFill="1" applyAlignment="1">
      <alignment horizontal="left" vertical="center" wrapText="1"/>
    </xf>
    <xf numFmtId="0" fontId="15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7" fillId="3" borderId="9" xfId="0" applyFont="1" applyFill="1" applyBorder="1"/>
    <xf numFmtId="0" fontId="7" fillId="0" borderId="9" xfId="0" applyFont="1" applyBorder="1"/>
    <xf numFmtId="0" fontId="6" fillId="0" borderId="0" xfId="0" applyFont="1"/>
    <xf numFmtId="0" fontId="7" fillId="0" borderId="0" xfId="0" applyFont="1"/>
    <xf numFmtId="0" fontId="25" fillId="5" borderId="15" xfId="4" applyFont="1" applyFill="1" applyBorder="1" applyAlignment="1">
      <alignment horizontal="center"/>
    </xf>
    <xf numFmtId="0" fontId="25" fillId="5" borderId="16" xfId="4" applyFont="1" applyFill="1" applyBorder="1" applyAlignment="1">
      <alignment horizontal="center"/>
    </xf>
    <xf numFmtId="0" fontId="11" fillId="0" borderId="1" xfId="3" applyFont="1" applyBorder="1" applyAlignment="1">
      <alignment horizontal="left"/>
    </xf>
    <xf numFmtId="0" fontId="11" fillId="0" borderId="0" xfId="3" applyFont="1" applyAlignment="1">
      <alignment horizontal="left"/>
    </xf>
    <xf numFmtId="0" fontId="8" fillId="2" borderId="0" xfId="0" applyFont="1" applyFill="1"/>
    <xf numFmtId="0" fontId="26" fillId="11" borderId="0" xfId="0" applyFont="1" applyFill="1"/>
    <xf numFmtId="0" fontId="27" fillId="0" borderId="0" xfId="0" applyFont="1" applyAlignment="1">
      <alignment horizontal="center"/>
    </xf>
    <xf numFmtId="9" fontId="28" fillId="5" borderId="0" xfId="0" applyNumberFormat="1" applyFont="1" applyFill="1" applyAlignment="1">
      <alignment horizontal="center"/>
    </xf>
    <xf numFmtId="166" fontId="28" fillId="5" borderId="0" xfId="0" applyNumberFormat="1" applyFont="1" applyFill="1" applyAlignment="1">
      <alignment horizontal="center"/>
    </xf>
    <xf numFmtId="9" fontId="28" fillId="4" borderId="0" xfId="0" applyNumberFormat="1" applyFont="1" applyFill="1" applyAlignment="1">
      <alignment horizontal="center"/>
    </xf>
    <xf numFmtId="9" fontId="28" fillId="0" borderId="0" xfId="0" applyNumberFormat="1" applyFont="1" applyAlignment="1">
      <alignment horizontal="center"/>
    </xf>
    <xf numFmtId="37" fontId="27" fillId="0" borderId="0" xfId="1" applyNumberFormat="1" applyFont="1" applyBorder="1" applyAlignment="1">
      <alignment horizontal="center"/>
    </xf>
    <xf numFmtId="167" fontId="28" fillId="5" borderId="0" xfId="0" applyNumberFormat="1" applyFont="1" applyFill="1" applyAlignment="1">
      <alignment horizontal="center"/>
    </xf>
    <xf numFmtId="10" fontId="28" fillId="5" borderId="0" xfId="0" applyNumberFormat="1" applyFont="1" applyFill="1" applyAlignment="1">
      <alignment horizontal="center"/>
    </xf>
    <xf numFmtId="170" fontId="29" fillId="2" borderId="0" xfId="0" applyNumberFormat="1" applyFont="1" applyFill="1"/>
    <xf numFmtId="166" fontId="27" fillId="0" borderId="0" xfId="0" applyNumberFormat="1" applyFont="1"/>
    <xf numFmtId="166" fontId="28" fillId="11" borderId="0" xfId="0" applyNumberFormat="1" applyFont="1" applyFill="1" applyAlignment="1">
      <alignment horizontal="center"/>
    </xf>
    <xf numFmtId="0" fontId="30" fillId="6" borderId="0" xfId="0" applyFont="1" applyFill="1" applyAlignment="1">
      <alignment horizontal="center"/>
    </xf>
    <xf numFmtId="0" fontId="29" fillId="4" borderId="0" xfId="3" applyFont="1" applyFill="1"/>
    <xf numFmtId="168" fontId="29" fillId="5" borderId="13" xfId="3" applyNumberFormat="1" applyFont="1" applyFill="1" applyBorder="1"/>
    <xf numFmtId="0" fontId="29" fillId="0" borderId="0" xfId="3" applyFont="1"/>
    <xf numFmtId="168" fontId="27" fillId="0" borderId="1" xfId="0" applyNumberFormat="1" applyFont="1" applyBorder="1"/>
    <xf numFmtId="0" fontId="27" fillId="10" borderId="0" xfId="0" applyFont="1" applyFill="1" applyAlignment="1">
      <alignment horizontal="center"/>
    </xf>
    <xf numFmtId="166" fontId="27" fillId="9" borderId="0" xfId="0" applyNumberFormat="1" applyFont="1" applyFill="1" applyAlignment="1">
      <alignment horizontal="center"/>
    </xf>
    <xf numFmtId="9" fontId="27" fillId="9" borderId="0" xfId="0" applyNumberFormat="1" applyFont="1" applyFill="1" applyAlignment="1">
      <alignment horizontal="center"/>
    </xf>
    <xf numFmtId="171" fontId="27" fillId="7" borderId="0" xfId="0" applyNumberFormat="1" applyFont="1" applyFill="1"/>
    <xf numFmtId="171" fontId="27" fillId="0" borderId="0" xfId="0" applyNumberFormat="1" applyFont="1"/>
    <xf numFmtId="171" fontId="27" fillId="7" borderId="14" xfId="0" applyNumberFormat="1" applyFont="1" applyFill="1" applyBorder="1"/>
    <xf numFmtId="171" fontId="27" fillId="0" borderId="14" xfId="0" applyNumberFormat="1" applyFont="1" applyBorder="1"/>
    <xf numFmtId="10" fontId="31" fillId="2" borderId="0" xfId="0" applyNumberFormat="1" applyFont="1" applyFill="1" applyAlignment="1">
      <alignment horizontal="center"/>
    </xf>
    <xf numFmtId="166" fontId="32" fillId="0" borderId="1" xfId="0" applyNumberFormat="1" applyFont="1" applyBorder="1"/>
    <xf numFmtId="37" fontId="32" fillId="0" borderId="0" xfId="1" applyNumberFormat="1" applyFont="1" applyAlignment="1">
      <alignment horizontal="center"/>
    </xf>
    <xf numFmtId="166" fontId="32" fillId="0" borderId="0" xfId="0" applyNumberFormat="1" applyFont="1"/>
    <xf numFmtId="166" fontId="32" fillId="4" borderId="0" xfId="0" applyNumberFormat="1" applyFont="1" applyFill="1"/>
    <xf numFmtId="166" fontId="33" fillId="0" borderId="2" xfId="0" applyNumberFormat="1" applyFont="1" applyBorder="1"/>
    <xf numFmtId="9" fontId="32" fillId="0" borderId="1" xfId="2" applyFont="1" applyBorder="1" applyAlignment="1">
      <alignment horizontal="center"/>
    </xf>
    <xf numFmtId="170" fontId="34" fillId="2" borderId="0" xfId="0" applyNumberFormat="1" applyFont="1" applyFill="1"/>
    <xf numFmtId="170" fontId="35" fillId="2" borderId="0" xfId="0" applyNumberFormat="1" applyFont="1" applyFill="1"/>
    <xf numFmtId="166" fontId="34" fillId="0" borderId="0" xfId="3" applyNumberFormat="1" applyFont="1"/>
    <xf numFmtId="168" fontId="34" fillId="0" borderId="0" xfId="3" applyNumberFormat="1" applyFont="1"/>
    <xf numFmtId="164" fontId="34" fillId="0" borderId="0" xfId="3" applyNumberFormat="1" applyFont="1"/>
    <xf numFmtId="168" fontId="34" fillId="4" borderId="0" xfId="3" applyNumberFormat="1" applyFont="1" applyFill="1"/>
    <xf numFmtId="168" fontId="34" fillId="0" borderId="4" xfId="3" applyNumberFormat="1" applyFont="1" applyBorder="1"/>
    <xf numFmtId="168" fontId="32" fillId="0" borderId="1" xfId="0" applyNumberFormat="1" applyFont="1" applyBorder="1"/>
    <xf numFmtId="168" fontId="32" fillId="0" borderId="0" xfId="0" applyNumberFormat="1" applyFont="1"/>
    <xf numFmtId="168" fontId="32" fillId="5" borderId="0" xfId="0" applyNumberFormat="1" applyFont="1" applyFill="1"/>
    <xf numFmtId="0" fontId="32" fillId="0" borderId="0" xfId="0" applyFont="1" applyAlignment="1">
      <alignment horizontal="center"/>
    </xf>
    <xf numFmtId="0" fontId="32" fillId="4" borderId="0" xfId="0" applyFont="1" applyFill="1"/>
    <xf numFmtId="168" fontId="32" fillId="10" borderId="0" xfId="0" applyNumberFormat="1" applyFont="1" applyFill="1"/>
    <xf numFmtId="0" fontId="32" fillId="10" borderId="0" xfId="0" applyFont="1" applyFill="1" applyAlignment="1">
      <alignment horizontal="center"/>
    </xf>
    <xf numFmtId="164" fontId="33" fillId="7" borderId="0" xfId="0" applyNumberFormat="1" applyFont="1" applyFill="1"/>
    <xf numFmtId="164" fontId="33" fillId="0" borderId="0" xfId="0" applyNumberFormat="1" applyFont="1"/>
    <xf numFmtId="0" fontId="29" fillId="0" borderId="0" xfId="4" applyFont="1" applyAlignment="1">
      <alignment horizontal="center"/>
    </xf>
    <xf numFmtId="0" fontId="29" fillId="0" borderId="0" xfId="4" applyFont="1" applyAlignment="1">
      <alignment horizontal="center" vertical="center"/>
    </xf>
    <xf numFmtId="0" fontId="29" fillId="0" borderId="0" xfId="4" applyFont="1"/>
    <xf numFmtId="9" fontId="36" fillId="0" borderId="0" xfId="4" applyNumberFormat="1" applyFont="1"/>
    <xf numFmtId="9" fontId="29" fillId="4" borderId="0" xfId="4" applyNumberFormat="1" applyFont="1" applyFill="1"/>
    <xf numFmtId="9" fontId="37" fillId="5" borderId="0" xfId="4" applyNumberFormat="1" applyFont="1" applyFill="1" applyAlignment="1">
      <alignment horizontal="center"/>
    </xf>
    <xf numFmtId="167" fontId="29" fillId="0" borderId="0" xfId="6" applyNumberFormat="1" applyFont="1"/>
    <xf numFmtId="10" fontId="29" fillId="0" borderId="0" xfId="6" applyNumberFormat="1" applyFont="1" applyFill="1"/>
    <xf numFmtId="165" fontId="29" fillId="0" borderId="0" xfId="7" applyFont="1" applyFill="1"/>
    <xf numFmtId="10" fontId="29" fillId="0" borderId="0" xfId="6" applyNumberFormat="1" applyFont="1"/>
    <xf numFmtId="168" fontId="38" fillId="0" borderId="0" xfId="4" applyNumberFormat="1" applyFont="1"/>
    <xf numFmtId="168" fontId="38" fillId="0" borderId="4" xfId="4" applyNumberFormat="1" applyFont="1" applyBorder="1"/>
    <xf numFmtId="10" fontId="39" fillId="0" borderId="0" xfId="4" applyNumberFormat="1" applyFont="1"/>
    <xf numFmtId="168" fontId="34" fillId="0" borderId="0" xfId="4" applyNumberFormat="1" applyFont="1"/>
    <xf numFmtId="168" fontId="34" fillId="0" borderId="4" xfId="4" applyNumberFormat="1" applyFont="1" applyBorder="1"/>
    <xf numFmtId="9" fontId="34" fillId="0" borderId="0" xfId="4" applyNumberFormat="1" applyFont="1"/>
    <xf numFmtId="2" fontId="34" fillId="0" borderId="0" xfId="4" applyNumberFormat="1" applyFont="1"/>
    <xf numFmtId="164" fontId="34" fillId="0" borderId="4" xfId="4" applyNumberFormat="1" applyFont="1" applyBorder="1"/>
    <xf numFmtId="164" fontId="35" fillId="0" borderId="6" xfId="4" applyNumberFormat="1" applyFont="1" applyBorder="1"/>
    <xf numFmtId="9" fontId="35" fillId="0" borderId="0" xfId="4" applyNumberFormat="1" applyFont="1"/>
    <xf numFmtId="10" fontId="34" fillId="0" borderId="0" xfId="4" applyNumberFormat="1" applyFont="1"/>
    <xf numFmtId="165" fontId="32" fillId="0" borderId="0" xfId="7" applyFont="1"/>
    <xf numFmtId="10" fontId="32" fillId="0" borderId="0" xfId="6" applyNumberFormat="1" applyFont="1"/>
    <xf numFmtId="165" fontId="34" fillId="0" borderId="0" xfId="4" applyNumberFormat="1" applyFont="1"/>
    <xf numFmtId="10" fontId="35" fillId="0" borderId="2" xfId="4" applyNumberFormat="1" applyFont="1" applyBorder="1"/>
    <xf numFmtId="0" fontId="32" fillId="2" borderId="0" xfId="0" applyFont="1" applyFill="1"/>
    <xf numFmtId="0" fontId="33" fillId="2" borderId="0" xfId="0" applyFont="1" applyFill="1"/>
    <xf numFmtId="0" fontId="28" fillId="2" borderId="0" xfId="0" applyFont="1" applyFill="1"/>
    <xf numFmtId="0" fontId="40" fillId="2" borderId="0" xfId="0" applyFont="1" applyFill="1"/>
    <xf numFmtId="0" fontId="41" fillId="2" borderId="0" xfId="0" applyFont="1" applyFill="1"/>
    <xf numFmtId="0" fontId="42" fillId="12" borderId="0" xfId="0" applyFont="1" applyFill="1"/>
    <xf numFmtId="172" fontId="32" fillId="2" borderId="0" xfId="0" applyNumberFormat="1" applyFont="1" applyFill="1"/>
    <xf numFmtId="172" fontId="33" fillId="2" borderId="0" xfId="0" applyNumberFormat="1" applyFont="1" applyFill="1"/>
    <xf numFmtId="0" fontId="43" fillId="12" borderId="0" xfId="4" applyFont="1" applyFill="1"/>
    <xf numFmtId="168" fontId="34" fillId="8" borderId="0" xfId="4" applyNumberFormat="1" applyFont="1" applyFill="1"/>
    <xf numFmtId="168" fontId="34" fillId="8" borderId="0" xfId="7" applyNumberFormat="1" applyFont="1" applyFill="1" applyBorder="1"/>
    <xf numFmtId="168" fontId="34" fillId="0" borderId="0" xfId="7" applyNumberFormat="1" applyFont="1" applyFill="1" applyBorder="1"/>
    <xf numFmtId="167" fontId="1" fillId="0" borderId="0" xfId="4" applyNumberFormat="1"/>
    <xf numFmtId="167" fontId="4" fillId="0" borderId="0" xfId="4" applyNumberFormat="1" applyFont="1"/>
    <xf numFmtId="167" fontId="8" fillId="0" borderId="0" xfId="7" applyNumberFormat="1" applyFont="1"/>
    <xf numFmtId="167" fontId="29" fillId="0" borderId="0" xfId="4" applyNumberFormat="1" applyFont="1"/>
    <xf numFmtId="0" fontId="29" fillId="11" borderId="0" xfId="4" applyFont="1" applyFill="1" applyAlignment="1">
      <alignment horizontal="center"/>
    </xf>
    <xf numFmtId="171" fontId="1" fillId="0" borderId="0" xfId="4" applyNumberFormat="1"/>
    <xf numFmtId="171" fontId="4" fillId="0" borderId="0" xfId="4" applyNumberFormat="1" applyFont="1"/>
    <xf numFmtId="173" fontId="4" fillId="0" borderId="0" xfId="4" applyNumberFormat="1" applyFont="1"/>
    <xf numFmtId="168" fontId="4" fillId="0" borderId="0" xfId="4" applyNumberFormat="1" applyFont="1"/>
    <xf numFmtId="0" fontId="43" fillId="12" borderId="0" xfId="4" applyFont="1" applyFill="1" applyAlignment="1">
      <alignment horizontal="right"/>
    </xf>
    <xf numFmtId="10" fontId="42" fillId="12" borderId="0" xfId="6" applyNumberFormat="1" applyFont="1" applyFill="1" applyAlignment="1">
      <alignment horizontal="center"/>
    </xf>
    <xf numFmtId="166" fontId="32" fillId="13" borderId="0" xfId="0" applyNumberFormat="1" applyFont="1" applyFill="1"/>
    <xf numFmtId="0" fontId="28" fillId="11" borderId="0" xfId="0" applyFont="1" applyFill="1" applyAlignment="1">
      <alignment horizontal="center"/>
    </xf>
    <xf numFmtId="167" fontId="28" fillId="11" borderId="0" xfId="0" applyNumberFormat="1" applyFont="1" applyFill="1" applyAlignment="1">
      <alignment horizontal="center"/>
    </xf>
    <xf numFmtId="167" fontId="38" fillId="0" borderId="0" xfId="4" applyNumberFormat="1" applyFont="1"/>
    <xf numFmtId="0" fontId="38" fillId="11" borderId="0" xfId="4" applyFont="1" applyFill="1" applyAlignment="1">
      <alignment horizontal="center"/>
    </xf>
    <xf numFmtId="9" fontId="27" fillId="11" borderId="0" xfId="0" applyNumberFormat="1" applyFont="1" applyFill="1" applyAlignment="1">
      <alignment horizontal="center"/>
    </xf>
    <xf numFmtId="168" fontId="7" fillId="3" borderId="0" xfId="0" applyNumberFormat="1" applyFont="1" applyFill="1" applyAlignment="1">
      <alignment vertical="center"/>
    </xf>
    <xf numFmtId="0" fontId="44" fillId="0" borderId="0" xfId="0" applyFont="1"/>
    <xf numFmtId="168" fontId="29" fillId="5" borderId="0" xfId="3" applyNumberFormat="1" applyFont="1" applyFill="1"/>
    <xf numFmtId="166" fontId="29" fillId="11" borderId="0" xfId="4" applyNumberFormat="1" applyFont="1" applyFill="1"/>
    <xf numFmtId="9" fontId="29" fillId="11" borderId="0" xfId="4" applyNumberFormat="1" applyFont="1" applyFill="1" applyAlignment="1">
      <alignment horizontal="center"/>
    </xf>
    <xf numFmtId="171" fontId="29" fillId="11" borderId="0" xfId="4" applyNumberFormat="1" applyFont="1" applyFill="1"/>
    <xf numFmtId="167" fontId="29" fillId="11" borderId="0" xfId="4" applyNumberFormat="1" applyFont="1" applyFill="1"/>
    <xf numFmtId="1" fontId="29" fillId="11" borderId="0" xfId="4" applyNumberFormat="1" applyFont="1" applyFill="1" applyAlignment="1">
      <alignment horizontal="center"/>
    </xf>
    <xf numFmtId="171" fontId="16" fillId="8" borderId="0" xfId="4" applyNumberFormat="1" applyFont="1" applyFill="1"/>
    <xf numFmtId="167" fontId="34" fillId="0" borderId="0" xfId="4" applyNumberFormat="1" applyFont="1"/>
    <xf numFmtId="174" fontId="1" fillId="0" borderId="0" xfId="4" applyNumberFormat="1"/>
    <xf numFmtId="173" fontId="1" fillId="0" borderId="0" xfId="4" applyNumberFormat="1"/>
    <xf numFmtId="175" fontId="27" fillId="0" borderId="0" xfId="0" applyNumberFormat="1" applyFont="1"/>
    <xf numFmtId="167" fontId="27" fillId="0" borderId="0" xfId="0" applyNumberFormat="1" applyFont="1"/>
    <xf numFmtId="0" fontId="17" fillId="0" borderId="0" xfId="0" applyFont="1"/>
    <xf numFmtId="175" fontId="0" fillId="0" borderId="0" xfId="0" applyNumberFormat="1"/>
    <xf numFmtId="174" fontId="0" fillId="0" borderId="0" xfId="0" applyNumberFormat="1"/>
    <xf numFmtId="174" fontId="8" fillId="0" borderId="0" xfId="0" applyNumberFormat="1" applyFont="1"/>
    <xf numFmtId="167" fontId="8" fillId="0" borderId="0" xfId="0" applyNumberFormat="1" applyFont="1"/>
    <xf numFmtId="176" fontId="1" fillId="0" borderId="0" xfId="4" applyNumberFormat="1"/>
    <xf numFmtId="0" fontId="8" fillId="0" borderId="0" xfId="0" applyFont="1" applyAlignment="1">
      <alignment horizontal="right"/>
    </xf>
    <xf numFmtId="167" fontId="0" fillId="0" borderId="0" xfId="0" applyNumberFormat="1"/>
    <xf numFmtId="9" fontId="8" fillId="0" borderId="0" xfId="2" applyFont="1" applyAlignment="1">
      <alignment horizontal="center"/>
    </xf>
    <xf numFmtId="0" fontId="23" fillId="3" borderId="0" xfId="0" applyFont="1" applyFill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0" xfId="0" applyFont="1" applyAlignment="1">
      <alignment horizontal="center"/>
    </xf>
    <xf numFmtId="0" fontId="17" fillId="7" borderId="9" xfId="0" applyFont="1" applyFill="1" applyBorder="1" applyAlignment="1">
      <alignment horizontal="center" vertical="center" wrapText="1"/>
    </xf>
    <xf numFmtId="0" fontId="17" fillId="7" borderId="0" xfId="0" applyFont="1" applyFill="1" applyAlignment="1">
      <alignment horizontal="center"/>
    </xf>
  </cellXfs>
  <cellStyles count="8">
    <cellStyle name="Comma 2" xfId="7" xr:uid="{E2501F72-FDE4-8546-9016-D79A94DD2CC8}"/>
    <cellStyle name="Currency 2" xfId="5" xr:uid="{5700058D-859D-454C-BAD1-EF073F30053B}"/>
    <cellStyle name="Millares" xfId="1" builtinId="3"/>
    <cellStyle name="Normal" xfId="0" builtinId="0"/>
    <cellStyle name="Normal 2" xfId="3" xr:uid="{35C53613-D842-1441-A3A7-BB956D78D9D8}"/>
    <cellStyle name="Normal 2 2" xfId="4" xr:uid="{2952D43E-5893-CB4A-8990-70D5BC8B72F5}"/>
    <cellStyle name="Percent 2" xfId="6" xr:uid="{043FA730-096F-7941-B6B5-1E4090D5A8A9}"/>
    <cellStyle name="Porcentaje" xfId="2" builtinId="5"/>
  </cellStyles>
  <dxfs count="1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Calibri"/>
        <family val="2"/>
        <scheme val="minor"/>
      </font>
      <alignment horizontal="left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AE98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34</xdr:col>
      <xdr:colOff>292100</xdr:colOff>
      <xdr:row>92</xdr:row>
      <xdr:rowOff>0</xdr:rowOff>
    </xdr:from>
    <xdr:to>
      <xdr:col>35</xdr:col>
      <xdr:colOff>63500</xdr:colOff>
      <xdr:row>93</xdr:row>
      <xdr:rowOff>38100</xdr:rowOff>
    </xdr:to>
    <xdr:sp macro="" textlink="">
      <xdr:nvSpPr>
        <xdr:cNvPr id="10" name="Rounded Rectangle 9">
          <a:extLst>
            <a:ext uri="{FF2B5EF4-FFF2-40B4-BE49-F238E27FC236}">
              <a16:creationId xmlns:a16="http://schemas.microsoft.com/office/drawing/2014/main" id="{843A2AFD-EB29-7347-83D4-BC4E348ECAD0}"/>
            </a:ext>
          </a:extLst>
        </xdr:cNvPr>
        <xdr:cNvSpPr/>
      </xdr:nvSpPr>
      <xdr:spPr>
        <a:xfrm>
          <a:off x="19519900" y="17018000"/>
          <a:ext cx="749300" cy="228600"/>
        </a:xfrm>
        <a:prstGeom prst="roundRect">
          <a:avLst/>
        </a:prstGeom>
        <a:noFill/>
        <a:ln w="57150">
          <a:solidFill>
            <a:schemeClr val="accent5">
              <a:lumMod val="7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48</xdr:col>
      <xdr:colOff>292100</xdr:colOff>
      <xdr:row>92</xdr:row>
      <xdr:rowOff>0</xdr:rowOff>
    </xdr:from>
    <xdr:to>
      <xdr:col>49</xdr:col>
      <xdr:colOff>63500</xdr:colOff>
      <xdr:row>93</xdr:row>
      <xdr:rowOff>38100</xdr:rowOff>
    </xdr:to>
    <xdr:sp macro="" textlink="">
      <xdr:nvSpPr>
        <xdr:cNvPr id="13" name="Rounded Rectangle 12">
          <a:extLst>
            <a:ext uri="{FF2B5EF4-FFF2-40B4-BE49-F238E27FC236}">
              <a16:creationId xmlns:a16="http://schemas.microsoft.com/office/drawing/2014/main" id="{508BB359-6FFC-A241-AE10-EA3C0D8CAD96}"/>
            </a:ext>
          </a:extLst>
        </xdr:cNvPr>
        <xdr:cNvSpPr/>
      </xdr:nvSpPr>
      <xdr:spPr>
        <a:xfrm>
          <a:off x="33604200" y="17157700"/>
          <a:ext cx="800100" cy="228600"/>
        </a:xfrm>
        <a:prstGeom prst="roundRect">
          <a:avLst/>
        </a:prstGeom>
        <a:noFill/>
        <a:ln w="57150">
          <a:solidFill>
            <a:schemeClr val="accent5">
              <a:lumMod val="75000"/>
            </a:schemeClr>
          </a:solidFill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2056B7-1E4E-314A-91E4-7660AD5EB9A5}" name="Table1" displayName="Table1" ref="B2:D24" totalsRowShown="0" headerRowDxfId="13" dataDxfId="12">
  <autoFilter ref="B2:D24" xr:uid="{C22056B7-1E4E-314A-91E4-7660AD5EB9A5}"/>
  <tableColumns count="3">
    <tableColumn id="1" xr3:uid="{8528ECB5-7738-D84D-9482-5DF0535ADDF7}" name="ITEM" dataDxfId="11"/>
    <tableColumn id="2" xr3:uid="{60E75ADB-1E87-AE48-BE54-F8E7A44784AE}" name="Nota Diego" dataDxfId="10"/>
    <tableColumn id="3" xr3:uid="{8FC4694F-786A-1C49-8F9F-219A48551B59}" name="Inputs Gastó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AEDA32A-D81D-AE46-99F2-21A3CA0EBA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788f3e0-bf53-400e-81ad-6678e6b5d97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5885F-93F7-2F49-B22F-E3821163F3A9}">
  <dimension ref="A1:AW120"/>
  <sheetViews>
    <sheetView showGridLines="0" tabSelected="1" topLeftCell="A36" zoomScale="85" zoomScaleNormal="85" workbookViewId="0">
      <selection activeCell="G39" sqref="G39"/>
    </sheetView>
  </sheetViews>
  <sheetFormatPr baseColWidth="10" defaultRowHeight="14.4" x14ac:dyDescent="0.3"/>
  <cols>
    <col min="1" max="1" width="4.77734375" style="1" customWidth="1"/>
    <col min="2" max="2" width="17.44140625" style="1" customWidth="1"/>
    <col min="3" max="3" width="18" style="1" customWidth="1"/>
    <col min="4" max="4" width="4.109375" style="1" customWidth="1"/>
    <col min="6" max="6" width="14.77734375" customWidth="1"/>
    <col min="7" max="7" width="18.44140625" customWidth="1"/>
    <col min="8" max="8" width="13.6640625" customWidth="1"/>
    <col min="9" max="9" width="12.44140625" bestFit="1" customWidth="1"/>
    <col min="10" max="21" width="12.77734375" customWidth="1"/>
    <col min="24" max="35" width="13.44140625" customWidth="1"/>
    <col min="37" max="49" width="13" customWidth="1"/>
  </cols>
  <sheetData>
    <row r="1" spans="1:49" x14ac:dyDescent="0.3">
      <c r="A1" s="232" t="s">
        <v>131</v>
      </c>
      <c r="B1" s="232"/>
      <c r="C1" s="232"/>
      <c r="D1" s="232"/>
      <c r="J1" s="2" t="s">
        <v>0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X1" s="2" t="s">
        <v>1</v>
      </c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L1" s="2" t="s">
        <v>1</v>
      </c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</row>
    <row r="2" spans="1:49" x14ac:dyDescent="0.3">
      <c r="A2" s="232"/>
      <c r="B2" s="232"/>
      <c r="C2" s="232"/>
      <c r="D2" s="232"/>
      <c r="I2" s="109">
        <v>0</v>
      </c>
      <c r="J2" s="4">
        <v>1</v>
      </c>
      <c r="K2" s="4">
        <v>2</v>
      </c>
      <c r="L2" s="4">
        <v>3</v>
      </c>
      <c r="M2" s="4">
        <v>4</v>
      </c>
      <c r="N2" s="4">
        <v>5</v>
      </c>
      <c r="O2" s="4">
        <v>6</v>
      </c>
      <c r="P2" s="4">
        <v>7</v>
      </c>
      <c r="Q2" s="4">
        <v>8</v>
      </c>
      <c r="R2" s="4">
        <v>9</v>
      </c>
      <c r="S2" s="4">
        <v>10</v>
      </c>
      <c r="T2" s="4">
        <v>11</v>
      </c>
      <c r="U2" s="4">
        <v>12</v>
      </c>
      <c r="X2" s="4">
        <v>1</v>
      </c>
      <c r="Y2" s="4">
        <v>2</v>
      </c>
      <c r="Z2" s="4">
        <v>3</v>
      </c>
      <c r="AA2" s="4">
        <v>4</v>
      </c>
      <c r="AB2" s="4">
        <v>5</v>
      </c>
      <c r="AC2" s="4">
        <v>6</v>
      </c>
      <c r="AD2" s="4">
        <v>7</v>
      </c>
      <c r="AE2" s="4">
        <v>8</v>
      </c>
      <c r="AF2" s="4">
        <v>9</v>
      </c>
      <c r="AG2" s="4">
        <v>10</v>
      </c>
      <c r="AH2" s="4">
        <v>11</v>
      </c>
      <c r="AI2" s="4">
        <v>12</v>
      </c>
      <c r="AL2" s="4">
        <v>1</v>
      </c>
      <c r="AM2" s="4">
        <v>2</v>
      </c>
      <c r="AN2" s="4">
        <v>3</v>
      </c>
      <c r="AO2" s="4">
        <v>4</v>
      </c>
      <c r="AP2" s="4">
        <v>5</v>
      </c>
      <c r="AQ2" s="4">
        <v>6</v>
      </c>
      <c r="AR2" s="4">
        <v>7</v>
      </c>
      <c r="AS2" s="4">
        <v>8</v>
      </c>
      <c r="AT2" s="4">
        <v>9</v>
      </c>
      <c r="AU2" s="4">
        <v>10</v>
      </c>
      <c r="AV2" s="4">
        <v>11</v>
      </c>
      <c r="AW2" s="4">
        <v>12</v>
      </c>
    </row>
    <row r="3" spans="1:49" s="6" customFormat="1" x14ac:dyDescent="0.3">
      <c r="A3" s="5"/>
      <c r="B3" s="5"/>
      <c r="C3" s="5"/>
      <c r="D3" s="5"/>
      <c r="J3" s="6" t="s">
        <v>2</v>
      </c>
      <c r="K3" s="6" t="s">
        <v>3</v>
      </c>
      <c r="L3" s="6" t="s">
        <v>4</v>
      </c>
      <c r="M3" s="6" t="s">
        <v>5</v>
      </c>
      <c r="N3" s="6" t="s">
        <v>6</v>
      </c>
      <c r="O3" s="6" t="s">
        <v>7</v>
      </c>
      <c r="P3" s="6" t="s">
        <v>8</v>
      </c>
      <c r="Q3" s="6" t="s">
        <v>9</v>
      </c>
      <c r="R3" s="6" t="s">
        <v>10</v>
      </c>
      <c r="S3" s="6" t="s">
        <v>11</v>
      </c>
      <c r="T3" s="6" t="s">
        <v>12</v>
      </c>
      <c r="U3" s="6" t="s">
        <v>13</v>
      </c>
      <c r="X3" s="6" t="s">
        <v>2</v>
      </c>
      <c r="Y3" s="6" t="s">
        <v>3</v>
      </c>
      <c r="Z3" s="6" t="s">
        <v>4</v>
      </c>
      <c r="AA3" s="6" t="s">
        <v>5</v>
      </c>
      <c r="AB3" s="6" t="s">
        <v>6</v>
      </c>
      <c r="AC3" s="6" t="s">
        <v>7</v>
      </c>
      <c r="AD3" s="6" t="s">
        <v>8</v>
      </c>
      <c r="AE3" s="6" t="s">
        <v>9</v>
      </c>
      <c r="AF3" s="6" t="s">
        <v>10</v>
      </c>
      <c r="AG3" s="6" t="s">
        <v>11</v>
      </c>
      <c r="AH3" s="6" t="s">
        <v>12</v>
      </c>
      <c r="AI3" s="6" t="s">
        <v>13</v>
      </c>
      <c r="AL3" s="6" t="s">
        <v>2</v>
      </c>
      <c r="AM3" s="6" t="s">
        <v>3</v>
      </c>
      <c r="AN3" s="6" t="s">
        <v>4</v>
      </c>
      <c r="AO3" s="6" t="s">
        <v>5</v>
      </c>
      <c r="AP3" s="6" t="s">
        <v>6</v>
      </c>
      <c r="AQ3" s="6" t="s">
        <v>7</v>
      </c>
      <c r="AR3" s="6" t="s">
        <v>8</v>
      </c>
      <c r="AS3" s="6" t="s">
        <v>9</v>
      </c>
      <c r="AT3" s="6" t="s">
        <v>10</v>
      </c>
      <c r="AU3" s="6" t="s">
        <v>11</v>
      </c>
      <c r="AV3" s="6" t="s">
        <v>12</v>
      </c>
      <c r="AW3" s="6" t="s">
        <v>13</v>
      </c>
    </row>
    <row r="4" spans="1:49" s="6" customFormat="1" ht="16.95" customHeight="1" x14ac:dyDescent="0.4">
      <c r="A4" s="5"/>
      <c r="B4" s="85" t="s">
        <v>127</v>
      </c>
      <c r="C4" s="110">
        <v>1</v>
      </c>
      <c r="D4" s="5"/>
      <c r="F4" s="106" t="s">
        <v>191</v>
      </c>
      <c r="K4" s="231"/>
    </row>
    <row r="5" spans="1:49" s="6" customFormat="1" x14ac:dyDescent="0.3">
      <c r="A5" s="5"/>
      <c r="B5" s="5"/>
      <c r="C5" s="5"/>
      <c r="D5" s="5"/>
      <c r="F5" s="7" t="s">
        <v>14</v>
      </c>
      <c r="G5" s="8"/>
      <c r="H5" s="7"/>
      <c r="I5" s="7"/>
      <c r="J5" s="133">
        <f>J6*$C$6</f>
        <v>0</v>
      </c>
      <c r="K5" s="133">
        <f t="shared" ref="K5:U5" si="0">K6*$C$6</f>
        <v>161373599.99999997</v>
      </c>
      <c r="L5" s="133">
        <f t="shared" si="0"/>
        <v>155644800</v>
      </c>
      <c r="M5" s="133">
        <f t="shared" si="0"/>
        <v>230354800</v>
      </c>
      <c r="N5" s="133">
        <f t="shared" si="0"/>
        <v>184009800</v>
      </c>
      <c r="O5" s="133">
        <f t="shared" si="0"/>
        <v>129826450</v>
      </c>
      <c r="P5" s="133">
        <f t="shared" si="0"/>
        <v>153570900</v>
      </c>
      <c r="Q5" s="133">
        <f t="shared" si="0"/>
        <v>217271250</v>
      </c>
      <c r="R5" s="133">
        <f t="shared" si="0"/>
        <v>232053600</v>
      </c>
      <c r="S5" s="133">
        <f t="shared" si="0"/>
        <v>235937900</v>
      </c>
      <c r="T5" s="133">
        <f t="shared" si="0"/>
        <v>193068000</v>
      </c>
      <c r="U5" s="133">
        <f t="shared" si="0"/>
        <v>259966000</v>
      </c>
      <c r="X5" s="133">
        <f t="shared" ref="X5" si="1">X6*$C$6</f>
        <v>252402000</v>
      </c>
      <c r="Y5" s="133">
        <f t="shared" ref="Y5" si="2">Y6*$C$6</f>
        <v>268956000</v>
      </c>
      <c r="Z5" s="133">
        <f t="shared" ref="Z5" si="3">Z6*$C$6</f>
        <v>259408000</v>
      </c>
      <c r="AA5" s="133">
        <f t="shared" ref="AA5" si="4">AA6*$C$6</f>
        <v>354392000</v>
      </c>
      <c r="AB5" s="133">
        <f t="shared" ref="AB5" si="5">AB6*$C$6</f>
        <v>283092000</v>
      </c>
      <c r="AC5" s="133">
        <f t="shared" ref="AC5" si="6">AC6*$C$6</f>
        <v>199733000</v>
      </c>
      <c r="AD5" s="133">
        <f t="shared" ref="AD5" si="7">AD6*$C$6</f>
        <v>219387000</v>
      </c>
      <c r="AE5" s="133">
        <f t="shared" ref="AE5" si="8">AE6*$C$6</f>
        <v>289695000</v>
      </c>
      <c r="AF5" s="133">
        <f t="shared" ref="AF5" si="9">AF6*$C$6</f>
        <v>290067000</v>
      </c>
      <c r="AG5" s="133">
        <f t="shared" ref="AG5" si="10">AG6*$C$6</f>
        <v>277574000</v>
      </c>
      <c r="AH5" s="133">
        <f t="shared" ref="AH5" si="11">AH6*$C$6</f>
        <v>214520000</v>
      </c>
      <c r="AI5" s="133">
        <f t="shared" ref="AI5" si="12">AI6*$C$6</f>
        <v>259966000</v>
      </c>
      <c r="AL5" s="133">
        <f t="shared" ref="AL5" si="13">AL6*$C$6</f>
        <v>252402000</v>
      </c>
      <c r="AM5" s="133">
        <f t="shared" ref="AM5" si="14">AM6*$C$6</f>
        <v>268956000</v>
      </c>
      <c r="AN5" s="133">
        <f t="shared" ref="AN5" si="15">AN6*$C$6</f>
        <v>259408000</v>
      </c>
      <c r="AO5" s="133">
        <f t="shared" ref="AO5" si="16">AO6*$C$6</f>
        <v>354392000</v>
      </c>
      <c r="AP5" s="133">
        <f t="shared" ref="AP5" si="17">AP6*$C$6</f>
        <v>283092000</v>
      </c>
      <c r="AQ5" s="133">
        <f t="shared" ref="AQ5" si="18">AQ6*$C$6</f>
        <v>199733000</v>
      </c>
      <c r="AR5" s="133">
        <f t="shared" ref="AR5" si="19">AR6*$C$6</f>
        <v>219387000</v>
      </c>
      <c r="AS5" s="133">
        <f t="shared" ref="AS5" si="20">AS6*$C$6</f>
        <v>289695000</v>
      </c>
      <c r="AT5" s="133">
        <f t="shared" ref="AT5" si="21">AT6*$C$6</f>
        <v>290067000</v>
      </c>
      <c r="AU5" s="133">
        <f t="shared" ref="AU5" si="22">AU6*$C$6</f>
        <v>277574000</v>
      </c>
      <c r="AV5" s="133">
        <f t="shared" ref="AV5" si="23">AV6*$C$6</f>
        <v>214520000</v>
      </c>
      <c r="AW5" s="133">
        <f t="shared" ref="AW5" si="24">AW6*$C$6</f>
        <v>259966000</v>
      </c>
    </row>
    <row r="6" spans="1:49" s="6" customFormat="1" x14ac:dyDescent="0.3">
      <c r="A6" s="5"/>
      <c r="B6" s="85" t="s">
        <v>15</v>
      </c>
      <c r="C6" s="111">
        <v>31000</v>
      </c>
      <c r="D6" s="5"/>
      <c r="G6" s="4" t="s">
        <v>16</v>
      </c>
      <c r="H6"/>
      <c r="I6"/>
      <c r="J6" s="134">
        <f>(J8*J7)*$C$4</f>
        <v>0</v>
      </c>
      <c r="K6" s="134">
        <f t="shared" ref="K6:U6" si="25">(K8*K7)*$C$4</f>
        <v>5205.5999999999995</v>
      </c>
      <c r="L6" s="134">
        <f t="shared" si="25"/>
        <v>5020.8</v>
      </c>
      <c r="M6" s="134">
        <f t="shared" si="25"/>
        <v>7430.8</v>
      </c>
      <c r="N6" s="134">
        <f>(N8*N7)*$C$4</f>
        <v>5935.8</v>
      </c>
      <c r="O6" s="134">
        <f t="shared" si="25"/>
        <v>4187.95</v>
      </c>
      <c r="P6" s="134">
        <f t="shared" si="25"/>
        <v>4953.8999999999996</v>
      </c>
      <c r="Q6" s="134">
        <f t="shared" si="25"/>
        <v>7008.75</v>
      </c>
      <c r="R6" s="134">
        <f t="shared" si="25"/>
        <v>7485.6</v>
      </c>
      <c r="S6" s="134">
        <f t="shared" si="25"/>
        <v>7610.9</v>
      </c>
      <c r="T6" s="134">
        <f t="shared" si="25"/>
        <v>6228</v>
      </c>
      <c r="U6" s="134">
        <f t="shared" si="25"/>
        <v>8386</v>
      </c>
      <c r="X6" s="134">
        <f t="shared" ref="X6" si="26">(X8*X7)*$C$4</f>
        <v>8142</v>
      </c>
      <c r="Y6" s="134">
        <f t="shared" ref="Y6" si="27">(Y8*Y7)*$C$4</f>
        <v>8676</v>
      </c>
      <c r="Z6" s="134">
        <f t="shared" ref="Z6" si="28">(Z8*Z7)*$C$4</f>
        <v>8368</v>
      </c>
      <c r="AA6" s="134">
        <f t="shared" ref="AA6" si="29">(AA8*AA7)*$C$4</f>
        <v>11432</v>
      </c>
      <c r="AB6" s="134">
        <f t="shared" ref="AB6" si="30">(AB8*AB7)*$C$4</f>
        <v>9132</v>
      </c>
      <c r="AC6" s="134">
        <f t="shared" ref="AC6" si="31">(AC8*AC7)*$C$4</f>
        <v>6443</v>
      </c>
      <c r="AD6" s="134">
        <f t="shared" ref="AD6" si="32">(AD8*AD7)*$C$4</f>
        <v>7077</v>
      </c>
      <c r="AE6" s="134">
        <f t="shared" ref="AE6" si="33">(AE8*AE7)*$C$4</f>
        <v>9345</v>
      </c>
      <c r="AF6" s="134">
        <f t="shared" ref="AF6" si="34">(AF8*AF7)*$C$4</f>
        <v>9357</v>
      </c>
      <c r="AG6" s="134">
        <f t="shared" ref="AG6" si="35">(AG8*AG7)*$C$4</f>
        <v>8954</v>
      </c>
      <c r="AH6" s="134">
        <f t="shared" ref="AH6" si="36">(AH8*AH7)*$C$4</f>
        <v>6920</v>
      </c>
      <c r="AI6" s="134">
        <f t="shared" ref="AI6" si="37">(AI8*AI7)*$C$4</f>
        <v>8386</v>
      </c>
      <c r="AL6" s="134">
        <f t="shared" ref="AL6" si="38">(AL8*AL7)*$C$4</f>
        <v>8142</v>
      </c>
      <c r="AM6" s="134">
        <f t="shared" ref="AM6" si="39">(AM8*AM7)*$C$4</f>
        <v>8676</v>
      </c>
      <c r="AN6" s="134">
        <f t="shared" ref="AN6" si="40">(AN8*AN7)*$C$4</f>
        <v>8368</v>
      </c>
      <c r="AO6" s="134">
        <f t="shared" ref="AO6" si="41">(AO8*AO7)*$C$4</f>
        <v>11432</v>
      </c>
      <c r="AP6" s="134">
        <f t="shared" ref="AP6" si="42">(AP8*AP7)*$C$4</f>
        <v>9132</v>
      </c>
      <c r="AQ6" s="134">
        <f t="shared" ref="AQ6" si="43">(AQ8*AQ7)*$C$4</f>
        <v>6443</v>
      </c>
      <c r="AR6" s="134">
        <f t="shared" ref="AR6" si="44">(AR8*AR7)*$C$4</f>
        <v>7077</v>
      </c>
      <c r="AS6" s="134">
        <f t="shared" ref="AS6" si="45">(AS8*AS7)*$C$4</f>
        <v>9345</v>
      </c>
      <c r="AT6" s="134">
        <f t="shared" ref="AT6" si="46">(AT8*AT7)*$C$4</f>
        <v>9357</v>
      </c>
      <c r="AU6" s="134">
        <f t="shared" ref="AU6" si="47">(AU8*AU7)*$C$4</f>
        <v>8954</v>
      </c>
      <c r="AV6" s="134">
        <f t="shared" ref="AV6" si="48">(AV8*AV7)*$C$4</f>
        <v>6920</v>
      </c>
      <c r="AW6" s="134">
        <f t="shared" ref="AW6" si="49">(AW8*AW7)*$C$4</f>
        <v>8386</v>
      </c>
    </row>
    <row r="7" spans="1:49" s="6" customFormat="1" x14ac:dyDescent="0.3">
      <c r="A7" s="5"/>
      <c r="B7" s="5"/>
      <c r="C7" s="5"/>
      <c r="D7" s="5"/>
      <c r="G7" s="9" t="s">
        <v>17</v>
      </c>
      <c r="H7" s="9"/>
      <c r="I7" s="9"/>
      <c r="J7" s="112">
        <v>0</v>
      </c>
      <c r="K7" s="112">
        <v>0.6</v>
      </c>
      <c r="L7" s="112">
        <v>0.6</v>
      </c>
      <c r="M7" s="112">
        <v>0.65</v>
      </c>
      <c r="N7" s="112">
        <v>0.65</v>
      </c>
      <c r="O7" s="113">
        <v>0.65</v>
      </c>
      <c r="P7" s="113">
        <v>0.7</v>
      </c>
      <c r="Q7" s="113">
        <v>0.75</v>
      </c>
      <c r="R7" s="113">
        <v>0.8</v>
      </c>
      <c r="S7" s="113">
        <v>0.85</v>
      </c>
      <c r="T7" s="113">
        <v>0.9</v>
      </c>
      <c r="U7" s="113">
        <v>1</v>
      </c>
      <c r="X7" s="113">
        <v>1</v>
      </c>
      <c r="Y7" s="113">
        <v>1</v>
      </c>
      <c r="Z7" s="113">
        <v>1</v>
      </c>
      <c r="AA7" s="113">
        <v>1</v>
      </c>
      <c r="AB7" s="113">
        <v>1</v>
      </c>
      <c r="AC7" s="113">
        <v>1</v>
      </c>
      <c r="AD7" s="113">
        <v>1</v>
      </c>
      <c r="AE7" s="113">
        <v>1</v>
      </c>
      <c r="AF7" s="113">
        <v>1</v>
      </c>
      <c r="AG7" s="113">
        <v>1</v>
      </c>
      <c r="AH7" s="113">
        <v>1</v>
      </c>
      <c r="AI7" s="113">
        <v>1</v>
      </c>
      <c r="AL7" s="113">
        <v>1</v>
      </c>
      <c r="AM7" s="113">
        <v>1</v>
      </c>
      <c r="AN7" s="113">
        <v>1</v>
      </c>
      <c r="AO7" s="113">
        <v>1</v>
      </c>
      <c r="AP7" s="113">
        <v>1</v>
      </c>
      <c r="AQ7" s="113">
        <v>1</v>
      </c>
      <c r="AR7" s="113">
        <v>1</v>
      </c>
      <c r="AS7" s="113">
        <v>1</v>
      </c>
      <c r="AT7" s="113">
        <v>1</v>
      </c>
      <c r="AU7" s="113">
        <v>1</v>
      </c>
      <c r="AV7" s="113">
        <v>1</v>
      </c>
      <c r="AW7" s="113">
        <v>1</v>
      </c>
    </row>
    <row r="8" spans="1:49" x14ac:dyDescent="0.3">
      <c r="B8" s="85" t="s">
        <v>18</v>
      </c>
      <c r="C8" s="110">
        <v>0.31</v>
      </c>
      <c r="G8" s="4" t="s">
        <v>128</v>
      </c>
      <c r="J8" s="114">
        <v>8142</v>
      </c>
      <c r="K8" s="114">
        <v>8676</v>
      </c>
      <c r="L8" s="114">
        <v>8368</v>
      </c>
      <c r="M8" s="114">
        <v>11432</v>
      </c>
      <c r="N8" s="114">
        <v>9132</v>
      </c>
      <c r="O8" s="114">
        <v>6443</v>
      </c>
      <c r="P8" s="114">
        <v>7077</v>
      </c>
      <c r="Q8" s="114">
        <v>9345</v>
      </c>
      <c r="R8" s="114">
        <v>9357</v>
      </c>
      <c r="S8" s="114">
        <v>8954</v>
      </c>
      <c r="T8" s="114">
        <v>6920</v>
      </c>
      <c r="U8" s="114">
        <v>8386</v>
      </c>
      <c r="X8" s="114">
        <v>8142</v>
      </c>
      <c r="Y8" s="114">
        <v>8676</v>
      </c>
      <c r="Z8" s="114">
        <v>8368</v>
      </c>
      <c r="AA8" s="114">
        <v>11432</v>
      </c>
      <c r="AB8" s="114">
        <v>9132</v>
      </c>
      <c r="AC8" s="114">
        <v>6443</v>
      </c>
      <c r="AD8" s="114">
        <v>7077</v>
      </c>
      <c r="AE8" s="114">
        <v>9345</v>
      </c>
      <c r="AF8" s="114">
        <v>9357</v>
      </c>
      <c r="AG8" s="114">
        <v>8954</v>
      </c>
      <c r="AH8" s="114">
        <v>6920</v>
      </c>
      <c r="AI8" s="114">
        <v>8386</v>
      </c>
      <c r="AL8" s="114">
        <v>8142</v>
      </c>
      <c r="AM8" s="114">
        <v>8676</v>
      </c>
      <c r="AN8" s="114">
        <v>8368</v>
      </c>
      <c r="AO8" s="114">
        <v>11432</v>
      </c>
      <c r="AP8" s="114">
        <v>9132</v>
      </c>
      <c r="AQ8" s="114">
        <v>6443</v>
      </c>
      <c r="AR8" s="114">
        <v>7077</v>
      </c>
      <c r="AS8" s="114">
        <v>9345</v>
      </c>
      <c r="AT8" s="114">
        <v>9357</v>
      </c>
      <c r="AU8" s="114">
        <v>8954</v>
      </c>
      <c r="AV8" s="114">
        <v>6920</v>
      </c>
      <c r="AW8" s="114">
        <v>8386</v>
      </c>
    </row>
    <row r="10" spans="1:49" x14ac:dyDescent="0.3">
      <c r="B10" s="85" t="s">
        <v>19</v>
      </c>
      <c r="C10" s="115">
        <v>1.4999999999999999E-2</v>
      </c>
      <c r="F10" s="7" t="s">
        <v>20</v>
      </c>
      <c r="G10" s="10"/>
      <c r="H10" s="10"/>
      <c r="I10" s="10"/>
      <c r="J10" s="133">
        <f>SUM(J11:J18)</f>
        <v>0</v>
      </c>
      <c r="K10" s="133">
        <f t="shared" ref="K10:U10" si="50">SUM(K11:K18)</f>
        <v>74231855.999999985</v>
      </c>
      <c r="L10" s="133">
        <f t="shared" si="50"/>
        <v>71596608</v>
      </c>
      <c r="M10" s="133">
        <f t="shared" si="50"/>
        <v>105963208</v>
      </c>
      <c r="N10" s="133">
        <f t="shared" si="50"/>
        <v>84644508</v>
      </c>
      <c r="O10" s="133">
        <f t="shared" si="50"/>
        <v>59720167</v>
      </c>
      <c r="P10" s="133">
        <f t="shared" si="50"/>
        <v>70642614</v>
      </c>
      <c r="Q10" s="133">
        <f t="shared" si="50"/>
        <v>99944775</v>
      </c>
      <c r="R10" s="133">
        <f t="shared" si="50"/>
        <v>106744656</v>
      </c>
      <c r="S10" s="133">
        <f t="shared" si="50"/>
        <v>108531434</v>
      </c>
      <c r="T10" s="133">
        <f t="shared" si="50"/>
        <v>88811280</v>
      </c>
      <c r="U10" s="133">
        <f t="shared" si="50"/>
        <v>119584360</v>
      </c>
      <c r="W10" s="10"/>
      <c r="X10" s="133">
        <f>SUM(X11:X18)</f>
        <v>116104920</v>
      </c>
      <c r="Y10" s="133">
        <f t="shared" ref="Y10:AI10" si="51">SUM(Y11:Y18)</f>
        <v>123719760</v>
      </c>
      <c r="Z10" s="133">
        <f t="shared" si="51"/>
        <v>119327680</v>
      </c>
      <c r="AA10" s="133">
        <f t="shared" si="51"/>
        <v>163020320</v>
      </c>
      <c r="AB10" s="133">
        <f t="shared" si="51"/>
        <v>130222320</v>
      </c>
      <c r="AC10" s="133">
        <f t="shared" si="51"/>
        <v>91877180</v>
      </c>
      <c r="AD10" s="133">
        <f t="shared" si="51"/>
        <v>100918020</v>
      </c>
      <c r="AE10" s="133">
        <f t="shared" si="51"/>
        <v>133259700</v>
      </c>
      <c r="AF10" s="133">
        <f t="shared" si="51"/>
        <v>133430820</v>
      </c>
      <c r="AG10" s="133">
        <f t="shared" si="51"/>
        <v>127684040</v>
      </c>
      <c r="AH10" s="133">
        <f t="shared" si="51"/>
        <v>98679200</v>
      </c>
      <c r="AI10" s="133">
        <f t="shared" si="51"/>
        <v>119584360</v>
      </c>
      <c r="AK10" s="10"/>
      <c r="AL10" s="133">
        <f>SUM(AL11:AL18)</f>
        <v>116104920</v>
      </c>
      <c r="AM10" s="133">
        <f t="shared" ref="AM10:AW10" si="52">SUM(AM11:AM18)</f>
        <v>123719760</v>
      </c>
      <c r="AN10" s="133">
        <f t="shared" si="52"/>
        <v>119327680</v>
      </c>
      <c r="AO10" s="133">
        <f t="shared" si="52"/>
        <v>163020320</v>
      </c>
      <c r="AP10" s="133">
        <f t="shared" si="52"/>
        <v>130222320</v>
      </c>
      <c r="AQ10" s="133">
        <f t="shared" si="52"/>
        <v>91877180</v>
      </c>
      <c r="AR10" s="133">
        <f t="shared" si="52"/>
        <v>100918020</v>
      </c>
      <c r="AS10" s="133">
        <f t="shared" si="52"/>
        <v>133259700</v>
      </c>
      <c r="AT10" s="133">
        <f t="shared" si="52"/>
        <v>133430820</v>
      </c>
      <c r="AU10" s="133">
        <f t="shared" si="52"/>
        <v>127684040</v>
      </c>
      <c r="AV10" s="133">
        <f t="shared" si="52"/>
        <v>98679200</v>
      </c>
      <c r="AW10" s="133">
        <f t="shared" si="52"/>
        <v>119584360</v>
      </c>
    </row>
    <row r="11" spans="1:49" x14ac:dyDescent="0.3">
      <c r="E11" t="s">
        <v>241</v>
      </c>
      <c r="F11" t="s">
        <v>240</v>
      </c>
      <c r="G11" t="s">
        <v>21</v>
      </c>
      <c r="J11" s="135">
        <f>J5*$C$8</f>
        <v>0</v>
      </c>
      <c r="K11" s="135">
        <f t="shared" ref="K11:U11" si="53">K5*$C$8</f>
        <v>50025815.999999993</v>
      </c>
      <c r="L11" s="135">
        <f t="shared" si="53"/>
        <v>48249888</v>
      </c>
      <c r="M11" s="135">
        <f t="shared" si="53"/>
        <v>71409988</v>
      </c>
      <c r="N11" s="135">
        <f t="shared" si="53"/>
        <v>57043038</v>
      </c>
      <c r="O11" s="135">
        <f t="shared" si="53"/>
        <v>40246199.5</v>
      </c>
      <c r="P11" s="135">
        <f t="shared" si="53"/>
        <v>47606979</v>
      </c>
      <c r="Q11" s="135">
        <f t="shared" si="53"/>
        <v>67354087.5</v>
      </c>
      <c r="R11" s="135">
        <f t="shared" si="53"/>
        <v>71936616</v>
      </c>
      <c r="S11" s="135">
        <f t="shared" si="53"/>
        <v>73140749</v>
      </c>
      <c r="T11" s="135">
        <f t="shared" si="53"/>
        <v>59851080</v>
      </c>
      <c r="U11" s="135">
        <f t="shared" si="53"/>
        <v>80589460</v>
      </c>
      <c r="X11" s="135">
        <f>X5*$C$8</f>
        <v>78244620</v>
      </c>
      <c r="Y11" s="135">
        <f t="shared" ref="Y11:AI11" si="54">Y5*$C$8</f>
        <v>83376360</v>
      </c>
      <c r="Z11" s="135">
        <f t="shared" si="54"/>
        <v>80416480</v>
      </c>
      <c r="AA11" s="135">
        <f t="shared" si="54"/>
        <v>109861520</v>
      </c>
      <c r="AB11" s="135">
        <f t="shared" si="54"/>
        <v>87758520</v>
      </c>
      <c r="AC11" s="135">
        <f t="shared" si="54"/>
        <v>61917230</v>
      </c>
      <c r="AD11" s="135">
        <f t="shared" si="54"/>
        <v>68009970</v>
      </c>
      <c r="AE11" s="135">
        <f t="shared" si="54"/>
        <v>89805450</v>
      </c>
      <c r="AF11" s="135">
        <f t="shared" si="54"/>
        <v>89920770</v>
      </c>
      <c r="AG11" s="135">
        <f t="shared" si="54"/>
        <v>86047940</v>
      </c>
      <c r="AH11" s="135">
        <f t="shared" si="54"/>
        <v>66501200</v>
      </c>
      <c r="AI11" s="135">
        <f t="shared" si="54"/>
        <v>80589460</v>
      </c>
      <c r="AL11" s="135">
        <f>AL5*$C$8</f>
        <v>78244620</v>
      </c>
      <c r="AM11" s="135">
        <f t="shared" ref="AM11:AW11" si="55">AM5*$C$8</f>
        <v>83376360</v>
      </c>
      <c r="AN11" s="135">
        <f t="shared" si="55"/>
        <v>80416480</v>
      </c>
      <c r="AO11" s="135">
        <f t="shared" si="55"/>
        <v>109861520</v>
      </c>
      <c r="AP11" s="135">
        <f t="shared" si="55"/>
        <v>87758520</v>
      </c>
      <c r="AQ11" s="135">
        <f t="shared" si="55"/>
        <v>61917230</v>
      </c>
      <c r="AR11" s="135">
        <f t="shared" si="55"/>
        <v>68009970</v>
      </c>
      <c r="AS11" s="135">
        <f t="shared" si="55"/>
        <v>89805450</v>
      </c>
      <c r="AT11" s="135">
        <f t="shared" si="55"/>
        <v>89920770</v>
      </c>
      <c r="AU11" s="135">
        <f t="shared" si="55"/>
        <v>86047940</v>
      </c>
      <c r="AV11" s="135">
        <f t="shared" si="55"/>
        <v>66501200</v>
      </c>
      <c r="AW11" s="135">
        <f t="shared" si="55"/>
        <v>80589460</v>
      </c>
    </row>
    <row r="12" spans="1:49" x14ac:dyDescent="0.3">
      <c r="B12" s="85" t="s">
        <v>22</v>
      </c>
      <c r="C12" s="116">
        <v>2.5000000000000001E-3</v>
      </c>
      <c r="E12" t="s">
        <v>241</v>
      </c>
      <c r="F12" t="s">
        <v>245</v>
      </c>
      <c r="G12" t="s">
        <v>23</v>
      </c>
      <c r="J12" s="135">
        <f>J5*$C$10</f>
        <v>0</v>
      </c>
      <c r="K12" s="135">
        <f t="shared" ref="K12:U12" si="56">K5*$C$10</f>
        <v>2420603.9999999995</v>
      </c>
      <c r="L12" s="135">
        <f t="shared" si="56"/>
        <v>2334672</v>
      </c>
      <c r="M12" s="135">
        <f t="shared" si="56"/>
        <v>3455322</v>
      </c>
      <c r="N12" s="135">
        <f t="shared" si="56"/>
        <v>2760147</v>
      </c>
      <c r="O12" s="135">
        <f t="shared" si="56"/>
        <v>1947396.75</v>
      </c>
      <c r="P12" s="135">
        <f t="shared" si="56"/>
        <v>2303563.5</v>
      </c>
      <c r="Q12" s="135">
        <f t="shared" si="56"/>
        <v>3259068.75</v>
      </c>
      <c r="R12" s="135">
        <f t="shared" si="56"/>
        <v>3480804</v>
      </c>
      <c r="S12" s="135">
        <f t="shared" si="56"/>
        <v>3539068.5</v>
      </c>
      <c r="T12" s="135">
        <f t="shared" si="56"/>
        <v>2896020</v>
      </c>
      <c r="U12" s="135">
        <f t="shared" si="56"/>
        <v>3899490</v>
      </c>
      <c r="X12" s="135">
        <f>X5*$C$10</f>
        <v>3786030</v>
      </c>
      <c r="Y12" s="135">
        <f t="shared" ref="Y12:AI12" si="57">Y5*$C$10</f>
        <v>4034340</v>
      </c>
      <c r="Z12" s="135">
        <f t="shared" si="57"/>
        <v>3891120</v>
      </c>
      <c r="AA12" s="135">
        <f t="shared" si="57"/>
        <v>5315880</v>
      </c>
      <c r="AB12" s="135">
        <f t="shared" si="57"/>
        <v>4246380</v>
      </c>
      <c r="AC12" s="135">
        <f t="shared" si="57"/>
        <v>2995995</v>
      </c>
      <c r="AD12" s="135">
        <f t="shared" si="57"/>
        <v>3290805</v>
      </c>
      <c r="AE12" s="135">
        <f t="shared" si="57"/>
        <v>4345425</v>
      </c>
      <c r="AF12" s="135">
        <f t="shared" si="57"/>
        <v>4351005</v>
      </c>
      <c r="AG12" s="135">
        <f t="shared" si="57"/>
        <v>4163610</v>
      </c>
      <c r="AH12" s="135">
        <f t="shared" si="57"/>
        <v>3217800</v>
      </c>
      <c r="AI12" s="135">
        <f t="shared" si="57"/>
        <v>3899490</v>
      </c>
      <c r="AL12" s="135">
        <f>AL5*$C$10</f>
        <v>3786030</v>
      </c>
      <c r="AM12" s="135">
        <f t="shared" ref="AM12:AW12" si="58">AM5*$C$10</f>
        <v>4034340</v>
      </c>
      <c r="AN12" s="135">
        <f t="shared" si="58"/>
        <v>3891120</v>
      </c>
      <c r="AO12" s="135">
        <f t="shared" si="58"/>
        <v>5315880</v>
      </c>
      <c r="AP12" s="135">
        <f t="shared" si="58"/>
        <v>4246380</v>
      </c>
      <c r="AQ12" s="135">
        <f t="shared" si="58"/>
        <v>2995995</v>
      </c>
      <c r="AR12" s="135">
        <f t="shared" si="58"/>
        <v>3290805</v>
      </c>
      <c r="AS12" s="135">
        <f t="shared" si="58"/>
        <v>4345425</v>
      </c>
      <c r="AT12" s="135">
        <f t="shared" si="58"/>
        <v>4351005</v>
      </c>
      <c r="AU12" s="135">
        <f t="shared" si="58"/>
        <v>4163610</v>
      </c>
      <c r="AV12" s="135">
        <f t="shared" si="58"/>
        <v>3217800</v>
      </c>
      <c r="AW12" s="135">
        <f t="shared" si="58"/>
        <v>3899490</v>
      </c>
    </row>
    <row r="13" spans="1:49" x14ac:dyDescent="0.3">
      <c r="E13" t="s">
        <v>248</v>
      </c>
      <c r="G13" t="s">
        <v>24</v>
      </c>
      <c r="J13" s="135">
        <f>J5*$C$12</f>
        <v>0</v>
      </c>
      <c r="K13" s="135">
        <f t="shared" ref="K13:U13" si="59">K5*$C$12</f>
        <v>403433.99999999994</v>
      </c>
      <c r="L13" s="135">
        <f t="shared" si="59"/>
        <v>389112</v>
      </c>
      <c r="M13" s="135">
        <f t="shared" si="59"/>
        <v>575887</v>
      </c>
      <c r="N13" s="135">
        <f t="shared" si="59"/>
        <v>460024.5</v>
      </c>
      <c r="O13" s="135">
        <f t="shared" si="59"/>
        <v>324566.125</v>
      </c>
      <c r="P13" s="135">
        <f t="shared" si="59"/>
        <v>383927.25</v>
      </c>
      <c r="Q13" s="135">
        <f t="shared" si="59"/>
        <v>543178.125</v>
      </c>
      <c r="R13" s="135">
        <f t="shared" si="59"/>
        <v>580134</v>
      </c>
      <c r="S13" s="135">
        <f t="shared" si="59"/>
        <v>589844.75</v>
      </c>
      <c r="T13" s="135">
        <f t="shared" si="59"/>
        <v>482670</v>
      </c>
      <c r="U13" s="135">
        <f t="shared" si="59"/>
        <v>649915</v>
      </c>
      <c r="X13" s="135">
        <f>X5*$C$12</f>
        <v>631005</v>
      </c>
      <c r="Y13" s="135">
        <f t="shared" ref="Y13:AI13" si="60">Y5*$C$12</f>
        <v>672390</v>
      </c>
      <c r="Z13" s="135">
        <f t="shared" si="60"/>
        <v>648520</v>
      </c>
      <c r="AA13" s="135">
        <f t="shared" si="60"/>
        <v>885980</v>
      </c>
      <c r="AB13" s="135">
        <f t="shared" si="60"/>
        <v>707730</v>
      </c>
      <c r="AC13" s="135">
        <f t="shared" si="60"/>
        <v>499332.5</v>
      </c>
      <c r="AD13" s="135">
        <f t="shared" si="60"/>
        <v>548467.5</v>
      </c>
      <c r="AE13" s="135">
        <f t="shared" si="60"/>
        <v>724237.5</v>
      </c>
      <c r="AF13" s="135">
        <f t="shared" si="60"/>
        <v>725167.5</v>
      </c>
      <c r="AG13" s="135">
        <f t="shared" si="60"/>
        <v>693935</v>
      </c>
      <c r="AH13" s="135">
        <f t="shared" si="60"/>
        <v>536300</v>
      </c>
      <c r="AI13" s="135">
        <f t="shared" si="60"/>
        <v>649915</v>
      </c>
      <c r="AL13" s="135">
        <f>AL5*$C$12</f>
        <v>631005</v>
      </c>
      <c r="AM13" s="135">
        <f t="shared" ref="AM13:AW13" si="61">AM5*$C$12</f>
        <v>672390</v>
      </c>
      <c r="AN13" s="135">
        <f t="shared" si="61"/>
        <v>648520</v>
      </c>
      <c r="AO13" s="135">
        <f t="shared" si="61"/>
        <v>885980</v>
      </c>
      <c r="AP13" s="135">
        <f t="shared" si="61"/>
        <v>707730</v>
      </c>
      <c r="AQ13" s="135">
        <f t="shared" si="61"/>
        <v>499332.5</v>
      </c>
      <c r="AR13" s="135">
        <f t="shared" si="61"/>
        <v>548467.5</v>
      </c>
      <c r="AS13" s="135">
        <f t="shared" si="61"/>
        <v>724237.5</v>
      </c>
      <c r="AT13" s="135">
        <f t="shared" si="61"/>
        <v>725167.5</v>
      </c>
      <c r="AU13" s="135">
        <f t="shared" si="61"/>
        <v>693935</v>
      </c>
      <c r="AV13" s="135">
        <f t="shared" si="61"/>
        <v>536300</v>
      </c>
      <c r="AW13" s="135">
        <f t="shared" si="61"/>
        <v>649915</v>
      </c>
    </row>
    <row r="14" spans="1:49" x14ac:dyDescent="0.3">
      <c r="B14" s="85" t="s">
        <v>25</v>
      </c>
      <c r="C14" s="110">
        <v>0.12</v>
      </c>
      <c r="F14" t="s">
        <v>244</v>
      </c>
      <c r="G14" s="17" t="s">
        <v>182</v>
      </c>
      <c r="H14" s="17"/>
      <c r="I14" s="17"/>
      <c r="J14" s="136">
        <f>J5*$C$14</f>
        <v>0</v>
      </c>
      <c r="K14" s="136">
        <f t="shared" ref="K14:U14" si="62">K5*$C$14</f>
        <v>19364831.999999996</v>
      </c>
      <c r="L14" s="136">
        <f t="shared" si="62"/>
        <v>18677376</v>
      </c>
      <c r="M14" s="136">
        <f t="shared" si="62"/>
        <v>27642576</v>
      </c>
      <c r="N14" s="136">
        <f t="shared" si="62"/>
        <v>22081176</v>
      </c>
      <c r="O14" s="136">
        <f t="shared" si="62"/>
        <v>15579174</v>
      </c>
      <c r="P14" s="136">
        <f t="shared" si="62"/>
        <v>18428508</v>
      </c>
      <c r="Q14" s="136">
        <f t="shared" si="62"/>
        <v>26072550</v>
      </c>
      <c r="R14" s="136">
        <f t="shared" si="62"/>
        <v>27846432</v>
      </c>
      <c r="S14" s="136">
        <f t="shared" si="62"/>
        <v>28312548</v>
      </c>
      <c r="T14" s="136">
        <f t="shared" si="62"/>
        <v>23168160</v>
      </c>
      <c r="U14" s="136">
        <f t="shared" si="62"/>
        <v>31195920</v>
      </c>
      <c r="X14" s="135">
        <f>X5*$C$14</f>
        <v>30288240</v>
      </c>
      <c r="Y14" s="135">
        <f t="shared" ref="Y14:AI14" si="63">Y5*$C$14</f>
        <v>32274720</v>
      </c>
      <c r="Z14" s="135">
        <f t="shared" si="63"/>
        <v>31128960</v>
      </c>
      <c r="AA14" s="135">
        <f t="shared" si="63"/>
        <v>42527040</v>
      </c>
      <c r="AB14" s="135">
        <f t="shared" si="63"/>
        <v>33971040</v>
      </c>
      <c r="AC14" s="135">
        <f t="shared" si="63"/>
        <v>23967960</v>
      </c>
      <c r="AD14" s="135">
        <f t="shared" si="63"/>
        <v>26326440</v>
      </c>
      <c r="AE14" s="135">
        <f t="shared" si="63"/>
        <v>34763400</v>
      </c>
      <c r="AF14" s="135">
        <f t="shared" si="63"/>
        <v>34808040</v>
      </c>
      <c r="AG14" s="135">
        <f t="shared" si="63"/>
        <v>33308880</v>
      </c>
      <c r="AH14" s="135">
        <f t="shared" si="63"/>
        <v>25742400</v>
      </c>
      <c r="AI14" s="135">
        <f t="shared" si="63"/>
        <v>31195920</v>
      </c>
      <c r="AL14" s="135">
        <f>AL5*$C$14</f>
        <v>30288240</v>
      </c>
      <c r="AM14" s="135">
        <f t="shared" ref="AM14:AW14" si="64">AM5*$C$14</f>
        <v>32274720</v>
      </c>
      <c r="AN14" s="135">
        <f t="shared" si="64"/>
        <v>31128960</v>
      </c>
      <c r="AO14" s="135">
        <f t="shared" si="64"/>
        <v>42527040</v>
      </c>
      <c r="AP14" s="135">
        <f t="shared" si="64"/>
        <v>33971040</v>
      </c>
      <c r="AQ14" s="135">
        <f t="shared" si="64"/>
        <v>23967960</v>
      </c>
      <c r="AR14" s="135">
        <f t="shared" si="64"/>
        <v>26326440</v>
      </c>
      <c r="AS14" s="135">
        <f t="shared" si="64"/>
        <v>34763400</v>
      </c>
      <c r="AT14" s="135">
        <f t="shared" si="64"/>
        <v>34808040</v>
      </c>
      <c r="AU14" s="135">
        <f t="shared" si="64"/>
        <v>33308880</v>
      </c>
      <c r="AV14" s="135">
        <f t="shared" si="64"/>
        <v>25742400</v>
      </c>
      <c r="AW14" s="135">
        <f t="shared" si="64"/>
        <v>31195920</v>
      </c>
    </row>
    <row r="15" spans="1:49" x14ac:dyDescent="0.3">
      <c r="E15" t="s">
        <v>248</v>
      </c>
      <c r="G15" t="s">
        <v>26</v>
      </c>
      <c r="J15" s="135">
        <f t="shared" ref="J15:U15" si="65">J5*$C$20</f>
        <v>0</v>
      </c>
      <c r="K15" s="135">
        <f t="shared" si="65"/>
        <v>1613735.9999999998</v>
      </c>
      <c r="L15" s="135">
        <f t="shared" si="65"/>
        <v>1556448</v>
      </c>
      <c r="M15" s="135">
        <f t="shared" si="65"/>
        <v>2303548</v>
      </c>
      <c r="N15" s="135">
        <f t="shared" si="65"/>
        <v>1840098</v>
      </c>
      <c r="O15" s="135">
        <f t="shared" si="65"/>
        <v>1298264.5</v>
      </c>
      <c r="P15" s="135">
        <f t="shared" si="65"/>
        <v>1535709</v>
      </c>
      <c r="Q15" s="135">
        <f t="shared" si="65"/>
        <v>2172712.5</v>
      </c>
      <c r="R15" s="135">
        <f t="shared" si="65"/>
        <v>2320536</v>
      </c>
      <c r="S15" s="135">
        <f t="shared" si="65"/>
        <v>2359379</v>
      </c>
      <c r="T15" s="135">
        <f t="shared" si="65"/>
        <v>1930680</v>
      </c>
      <c r="U15" s="135">
        <f t="shared" si="65"/>
        <v>2599660</v>
      </c>
      <c r="X15" s="135">
        <f t="shared" ref="X15:AI15" si="66">X5*$C$20</f>
        <v>2524020</v>
      </c>
      <c r="Y15" s="135">
        <f t="shared" si="66"/>
        <v>2689560</v>
      </c>
      <c r="Z15" s="135">
        <f t="shared" si="66"/>
        <v>2594080</v>
      </c>
      <c r="AA15" s="135">
        <f t="shared" si="66"/>
        <v>3543920</v>
      </c>
      <c r="AB15" s="135">
        <f t="shared" si="66"/>
        <v>2830920</v>
      </c>
      <c r="AC15" s="135">
        <f t="shared" si="66"/>
        <v>1997330</v>
      </c>
      <c r="AD15" s="135">
        <f t="shared" si="66"/>
        <v>2193870</v>
      </c>
      <c r="AE15" s="135">
        <f t="shared" si="66"/>
        <v>2896950</v>
      </c>
      <c r="AF15" s="135">
        <f t="shared" si="66"/>
        <v>2900670</v>
      </c>
      <c r="AG15" s="135">
        <f t="shared" si="66"/>
        <v>2775740</v>
      </c>
      <c r="AH15" s="135">
        <f t="shared" si="66"/>
        <v>2145200</v>
      </c>
      <c r="AI15" s="135">
        <f t="shared" si="66"/>
        <v>2599660</v>
      </c>
      <c r="AL15" s="135">
        <f t="shared" ref="AL15:AW15" si="67">AL5*$C$20</f>
        <v>2524020</v>
      </c>
      <c r="AM15" s="135">
        <f t="shared" si="67"/>
        <v>2689560</v>
      </c>
      <c r="AN15" s="135">
        <f t="shared" si="67"/>
        <v>2594080</v>
      </c>
      <c r="AO15" s="135">
        <f t="shared" si="67"/>
        <v>3543920</v>
      </c>
      <c r="AP15" s="135">
        <f t="shared" si="67"/>
        <v>2830920</v>
      </c>
      <c r="AQ15" s="135">
        <f t="shared" si="67"/>
        <v>1997330</v>
      </c>
      <c r="AR15" s="135">
        <f t="shared" si="67"/>
        <v>2193870</v>
      </c>
      <c r="AS15" s="135">
        <f t="shared" si="67"/>
        <v>2896950</v>
      </c>
      <c r="AT15" s="135">
        <f t="shared" si="67"/>
        <v>2900670</v>
      </c>
      <c r="AU15" s="135">
        <f t="shared" si="67"/>
        <v>2775740</v>
      </c>
      <c r="AV15" s="135">
        <f t="shared" si="67"/>
        <v>2145200</v>
      </c>
      <c r="AW15" s="135">
        <f t="shared" si="67"/>
        <v>2599660</v>
      </c>
    </row>
    <row r="16" spans="1:49" x14ac:dyDescent="0.3">
      <c r="B16" s="85" t="s">
        <v>27</v>
      </c>
      <c r="C16" s="111">
        <v>3000000</v>
      </c>
      <c r="F16" t="s">
        <v>244</v>
      </c>
      <c r="G16" t="s">
        <v>28</v>
      </c>
      <c r="J16" s="135">
        <f t="shared" ref="J16:U16" si="68">J5*$C$26</f>
        <v>0</v>
      </c>
      <c r="K16" s="135">
        <f t="shared" si="68"/>
        <v>403433.99999999994</v>
      </c>
      <c r="L16" s="135">
        <f t="shared" si="68"/>
        <v>389112</v>
      </c>
      <c r="M16" s="135">
        <f t="shared" si="68"/>
        <v>575887</v>
      </c>
      <c r="N16" s="135">
        <f t="shared" si="68"/>
        <v>460024.5</v>
      </c>
      <c r="O16" s="135">
        <f t="shared" si="68"/>
        <v>324566.125</v>
      </c>
      <c r="P16" s="135">
        <f t="shared" si="68"/>
        <v>383927.25</v>
      </c>
      <c r="Q16" s="135">
        <f t="shared" si="68"/>
        <v>543178.125</v>
      </c>
      <c r="R16" s="135">
        <f t="shared" si="68"/>
        <v>580134</v>
      </c>
      <c r="S16" s="135">
        <f t="shared" si="68"/>
        <v>589844.75</v>
      </c>
      <c r="T16" s="135">
        <f t="shared" si="68"/>
        <v>482670</v>
      </c>
      <c r="U16" s="135">
        <f t="shared" si="68"/>
        <v>649915</v>
      </c>
      <c r="X16" s="135">
        <f t="shared" ref="X16:AI16" si="69">X5*$C$26</f>
        <v>631005</v>
      </c>
      <c r="Y16" s="135">
        <f t="shared" si="69"/>
        <v>672390</v>
      </c>
      <c r="Z16" s="135">
        <f t="shared" si="69"/>
        <v>648520</v>
      </c>
      <c r="AA16" s="135">
        <f t="shared" si="69"/>
        <v>885980</v>
      </c>
      <c r="AB16" s="135">
        <f t="shared" si="69"/>
        <v>707730</v>
      </c>
      <c r="AC16" s="135">
        <f t="shared" si="69"/>
        <v>499332.5</v>
      </c>
      <c r="AD16" s="135">
        <f t="shared" si="69"/>
        <v>548467.5</v>
      </c>
      <c r="AE16" s="135">
        <f t="shared" si="69"/>
        <v>724237.5</v>
      </c>
      <c r="AF16" s="135">
        <f t="shared" si="69"/>
        <v>725167.5</v>
      </c>
      <c r="AG16" s="135">
        <f t="shared" si="69"/>
        <v>693935</v>
      </c>
      <c r="AH16" s="135">
        <f t="shared" si="69"/>
        <v>536300</v>
      </c>
      <c r="AI16" s="135">
        <f t="shared" si="69"/>
        <v>649915</v>
      </c>
      <c r="AL16" s="135">
        <f t="shared" ref="AL16:AW16" si="70">AL5*$C$26</f>
        <v>631005</v>
      </c>
      <c r="AM16" s="135">
        <f t="shared" si="70"/>
        <v>672390</v>
      </c>
      <c r="AN16" s="135">
        <f t="shared" si="70"/>
        <v>648520</v>
      </c>
      <c r="AO16" s="135">
        <f t="shared" si="70"/>
        <v>885980</v>
      </c>
      <c r="AP16" s="135">
        <f t="shared" si="70"/>
        <v>707730</v>
      </c>
      <c r="AQ16" s="135">
        <f t="shared" si="70"/>
        <v>499332.5</v>
      </c>
      <c r="AR16" s="135">
        <f t="shared" si="70"/>
        <v>548467.5</v>
      </c>
      <c r="AS16" s="135">
        <f t="shared" si="70"/>
        <v>724237.5</v>
      </c>
      <c r="AT16" s="135">
        <f t="shared" si="70"/>
        <v>725167.5</v>
      </c>
      <c r="AU16" s="135">
        <f t="shared" si="70"/>
        <v>693935</v>
      </c>
      <c r="AV16" s="135">
        <f t="shared" si="70"/>
        <v>536300</v>
      </c>
      <c r="AW16" s="135">
        <f t="shared" si="70"/>
        <v>649915</v>
      </c>
    </row>
    <row r="17" spans="2:49" x14ac:dyDescent="0.3">
      <c r="B17" s="83"/>
      <c r="C17" s="84"/>
      <c r="E17" t="s">
        <v>242</v>
      </c>
      <c r="F17" t="s">
        <v>244</v>
      </c>
      <c r="G17" t="s">
        <v>29</v>
      </c>
      <c r="J17" s="135">
        <f t="shared" ref="J17:U17" si="71">J5*$C$28</f>
        <v>0</v>
      </c>
      <c r="K17" s="135">
        <f t="shared" si="71"/>
        <v>0</v>
      </c>
      <c r="L17" s="135">
        <f t="shared" si="71"/>
        <v>0</v>
      </c>
      <c r="M17" s="135">
        <f t="shared" si="71"/>
        <v>0</v>
      </c>
      <c r="N17" s="135">
        <f t="shared" si="71"/>
        <v>0</v>
      </c>
      <c r="O17" s="135">
        <f t="shared" si="71"/>
        <v>0</v>
      </c>
      <c r="P17" s="135">
        <f t="shared" si="71"/>
        <v>0</v>
      </c>
      <c r="Q17" s="135">
        <f t="shared" si="71"/>
        <v>0</v>
      </c>
      <c r="R17" s="135">
        <f t="shared" si="71"/>
        <v>0</v>
      </c>
      <c r="S17" s="135">
        <f t="shared" si="71"/>
        <v>0</v>
      </c>
      <c r="T17" s="135">
        <f t="shared" si="71"/>
        <v>0</v>
      </c>
      <c r="U17" s="135">
        <f t="shared" si="71"/>
        <v>0</v>
      </c>
      <c r="X17" s="135">
        <f t="shared" ref="X17:AI17" si="72">X5*$C$28</f>
        <v>0</v>
      </c>
      <c r="Y17" s="135">
        <f t="shared" si="72"/>
        <v>0</v>
      </c>
      <c r="Z17" s="135">
        <f t="shared" si="72"/>
        <v>0</v>
      </c>
      <c r="AA17" s="135">
        <f t="shared" si="72"/>
        <v>0</v>
      </c>
      <c r="AB17" s="135">
        <f t="shared" si="72"/>
        <v>0</v>
      </c>
      <c r="AC17" s="135">
        <f t="shared" si="72"/>
        <v>0</v>
      </c>
      <c r="AD17" s="135">
        <f t="shared" si="72"/>
        <v>0</v>
      </c>
      <c r="AE17" s="135">
        <f t="shared" si="72"/>
        <v>0</v>
      </c>
      <c r="AF17" s="135">
        <f t="shared" si="72"/>
        <v>0</v>
      </c>
      <c r="AG17" s="135">
        <f t="shared" si="72"/>
        <v>0</v>
      </c>
      <c r="AH17" s="135">
        <f t="shared" si="72"/>
        <v>0</v>
      </c>
      <c r="AI17" s="135">
        <f t="shared" si="72"/>
        <v>0</v>
      </c>
      <c r="AL17" s="135">
        <f t="shared" ref="AL17:AW17" si="73">AL5*$C$28</f>
        <v>0</v>
      </c>
      <c r="AM17" s="135">
        <f t="shared" si="73"/>
        <v>0</v>
      </c>
      <c r="AN17" s="135">
        <f t="shared" si="73"/>
        <v>0</v>
      </c>
      <c r="AO17" s="135">
        <f t="shared" si="73"/>
        <v>0</v>
      </c>
      <c r="AP17" s="135">
        <f t="shared" si="73"/>
        <v>0</v>
      </c>
      <c r="AQ17" s="135">
        <f t="shared" si="73"/>
        <v>0</v>
      </c>
      <c r="AR17" s="135">
        <f t="shared" si="73"/>
        <v>0</v>
      </c>
      <c r="AS17" s="135">
        <f t="shared" si="73"/>
        <v>0</v>
      </c>
      <c r="AT17" s="135">
        <f t="shared" si="73"/>
        <v>0</v>
      </c>
      <c r="AU17" s="135">
        <f t="shared" si="73"/>
        <v>0</v>
      </c>
      <c r="AV17" s="135">
        <f t="shared" si="73"/>
        <v>0</v>
      </c>
      <c r="AW17" s="135">
        <f t="shared" si="73"/>
        <v>0</v>
      </c>
    </row>
    <row r="18" spans="2:49" x14ac:dyDescent="0.3">
      <c r="B18" s="85" t="s">
        <v>181</v>
      </c>
      <c r="C18" s="111">
        <v>60000000</v>
      </c>
    </row>
    <row r="19" spans="2:49" x14ac:dyDescent="0.3">
      <c r="F19" s="12" t="s">
        <v>30</v>
      </c>
      <c r="G19" s="13"/>
      <c r="H19" s="14" t="s">
        <v>31</v>
      </c>
      <c r="I19" s="14"/>
      <c r="J19" s="137">
        <f>J5-J10</f>
        <v>0</v>
      </c>
      <c r="K19" s="137">
        <f t="shared" ref="K19:U19" si="74">K5-K10</f>
        <v>87141743.999999985</v>
      </c>
      <c r="L19" s="137">
        <f t="shared" si="74"/>
        <v>84048192</v>
      </c>
      <c r="M19" s="137">
        <f t="shared" si="74"/>
        <v>124391592</v>
      </c>
      <c r="N19" s="137">
        <f t="shared" si="74"/>
        <v>99365292</v>
      </c>
      <c r="O19" s="137">
        <f t="shared" si="74"/>
        <v>70106283</v>
      </c>
      <c r="P19" s="137">
        <f t="shared" si="74"/>
        <v>82928286</v>
      </c>
      <c r="Q19" s="137">
        <f t="shared" si="74"/>
        <v>117326475</v>
      </c>
      <c r="R19" s="137">
        <f t="shared" si="74"/>
        <v>125308944</v>
      </c>
      <c r="S19" s="137">
        <f t="shared" si="74"/>
        <v>127406466</v>
      </c>
      <c r="T19" s="137">
        <f t="shared" si="74"/>
        <v>104256720</v>
      </c>
      <c r="U19" s="137">
        <f t="shared" si="74"/>
        <v>140381640</v>
      </c>
      <c r="W19" s="14" t="s">
        <v>31</v>
      </c>
      <c r="X19" s="137">
        <f>X5-X10</f>
        <v>136297080</v>
      </c>
      <c r="Y19" s="137">
        <f t="shared" ref="Y19:AI19" si="75">Y5-Y10</f>
        <v>145236240</v>
      </c>
      <c r="Z19" s="137">
        <f t="shared" si="75"/>
        <v>140080320</v>
      </c>
      <c r="AA19" s="137">
        <f t="shared" si="75"/>
        <v>191371680</v>
      </c>
      <c r="AB19" s="137">
        <f t="shared" si="75"/>
        <v>152869680</v>
      </c>
      <c r="AC19" s="137">
        <f t="shared" si="75"/>
        <v>107855820</v>
      </c>
      <c r="AD19" s="137">
        <f t="shared" si="75"/>
        <v>118468980</v>
      </c>
      <c r="AE19" s="137">
        <f t="shared" si="75"/>
        <v>156435300</v>
      </c>
      <c r="AF19" s="137">
        <f t="shared" si="75"/>
        <v>156636180</v>
      </c>
      <c r="AG19" s="137">
        <f t="shared" si="75"/>
        <v>149889960</v>
      </c>
      <c r="AH19" s="137">
        <f t="shared" si="75"/>
        <v>115840800</v>
      </c>
      <c r="AI19" s="137">
        <f t="shared" si="75"/>
        <v>140381640</v>
      </c>
      <c r="AK19" s="14" t="s">
        <v>31</v>
      </c>
      <c r="AL19" s="137">
        <f>AL5-AL10</f>
        <v>136297080</v>
      </c>
      <c r="AM19" s="137">
        <f t="shared" ref="AM19:AW19" si="76">AM5-AM10</f>
        <v>145236240</v>
      </c>
      <c r="AN19" s="137">
        <f t="shared" si="76"/>
        <v>140080320</v>
      </c>
      <c r="AO19" s="137">
        <f t="shared" si="76"/>
        <v>191371680</v>
      </c>
      <c r="AP19" s="137">
        <f t="shared" si="76"/>
        <v>152869680</v>
      </c>
      <c r="AQ19" s="137">
        <f t="shared" si="76"/>
        <v>107855820</v>
      </c>
      <c r="AR19" s="137">
        <f t="shared" si="76"/>
        <v>118468980</v>
      </c>
      <c r="AS19" s="137">
        <f t="shared" si="76"/>
        <v>156435300</v>
      </c>
      <c r="AT19" s="137">
        <f t="shared" si="76"/>
        <v>156636180</v>
      </c>
      <c r="AU19" s="137">
        <f t="shared" si="76"/>
        <v>149889960</v>
      </c>
      <c r="AV19" s="137">
        <f t="shared" si="76"/>
        <v>115840800</v>
      </c>
      <c r="AW19" s="137">
        <f t="shared" si="76"/>
        <v>140381640</v>
      </c>
    </row>
    <row r="20" spans="2:49" x14ac:dyDescent="0.3">
      <c r="B20" s="85" t="s">
        <v>26</v>
      </c>
      <c r="C20" s="110">
        <v>0.01</v>
      </c>
      <c r="F20" s="15"/>
      <c r="G20" s="15"/>
      <c r="H20" s="16" t="s">
        <v>32</v>
      </c>
      <c r="I20" s="16"/>
      <c r="J20" s="138" t="e">
        <f>J19/J5</f>
        <v>#DIV/0!</v>
      </c>
      <c r="K20" s="138">
        <f t="shared" ref="K20:U20" si="77">K19/K5</f>
        <v>0.54</v>
      </c>
      <c r="L20" s="138">
        <f t="shared" si="77"/>
        <v>0.54</v>
      </c>
      <c r="M20" s="138">
        <f t="shared" si="77"/>
        <v>0.54</v>
      </c>
      <c r="N20" s="138">
        <f t="shared" si="77"/>
        <v>0.54</v>
      </c>
      <c r="O20" s="138">
        <f t="shared" si="77"/>
        <v>0.54</v>
      </c>
      <c r="P20" s="138">
        <f t="shared" si="77"/>
        <v>0.54</v>
      </c>
      <c r="Q20" s="138">
        <f t="shared" si="77"/>
        <v>0.54</v>
      </c>
      <c r="R20" s="138">
        <f t="shared" si="77"/>
        <v>0.54</v>
      </c>
      <c r="S20" s="138">
        <f t="shared" si="77"/>
        <v>0.54</v>
      </c>
      <c r="T20" s="138">
        <f t="shared" si="77"/>
        <v>0.54</v>
      </c>
      <c r="U20" s="138">
        <f t="shared" si="77"/>
        <v>0.54</v>
      </c>
      <c r="W20" s="16" t="s">
        <v>32</v>
      </c>
      <c r="X20" s="138">
        <f>X19/X5</f>
        <v>0.54</v>
      </c>
      <c r="Y20" s="138">
        <f t="shared" ref="Y20:AI20" si="78">Y19/Y5</f>
        <v>0.54</v>
      </c>
      <c r="Z20" s="138">
        <f t="shared" si="78"/>
        <v>0.54</v>
      </c>
      <c r="AA20" s="138">
        <f t="shared" si="78"/>
        <v>0.54</v>
      </c>
      <c r="AB20" s="138">
        <f t="shared" si="78"/>
        <v>0.54</v>
      </c>
      <c r="AC20" s="138">
        <f t="shared" si="78"/>
        <v>0.54</v>
      </c>
      <c r="AD20" s="138">
        <f t="shared" si="78"/>
        <v>0.54</v>
      </c>
      <c r="AE20" s="138">
        <f t="shared" si="78"/>
        <v>0.54</v>
      </c>
      <c r="AF20" s="138">
        <f t="shared" si="78"/>
        <v>0.54</v>
      </c>
      <c r="AG20" s="138">
        <f t="shared" si="78"/>
        <v>0.54</v>
      </c>
      <c r="AH20" s="138">
        <f t="shared" si="78"/>
        <v>0.54</v>
      </c>
      <c r="AI20" s="138">
        <f t="shared" si="78"/>
        <v>0.54</v>
      </c>
      <c r="AK20" s="16" t="s">
        <v>32</v>
      </c>
      <c r="AL20" s="138">
        <f>AL19/AL5</f>
        <v>0.54</v>
      </c>
      <c r="AM20" s="138">
        <f t="shared" ref="AM20:AW20" si="79">AM19/AM5</f>
        <v>0.54</v>
      </c>
      <c r="AN20" s="138">
        <f t="shared" si="79"/>
        <v>0.54</v>
      </c>
      <c r="AO20" s="138">
        <f t="shared" si="79"/>
        <v>0.54</v>
      </c>
      <c r="AP20" s="138">
        <f t="shared" si="79"/>
        <v>0.54</v>
      </c>
      <c r="AQ20" s="138">
        <f t="shared" si="79"/>
        <v>0.54</v>
      </c>
      <c r="AR20" s="138">
        <f t="shared" si="79"/>
        <v>0.54</v>
      </c>
      <c r="AS20" s="138">
        <f t="shared" si="79"/>
        <v>0.54</v>
      </c>
      <c r="AT20" s="138">
        <f t="shared" si="79"/>
        <v>0.54</v>
      </c>
      <c r="AU20" s="138">
        <f t="shared" si="79"/>
        <v>0.54</v>
      </c>
      <c r="AV20" s="138">
        <f t="shared" si="79"/>
        <v>0.54</v>
      </c>
      <c r="AW20" s="138">
        <f t="shared" si="79"/>
        <v>0.54</v>
      </c>
    </row>
    <row r="22" spans="2:49" x14ac:dyDescent="0.3">
      <c r="B22" s="85" t="s">
        <v>33</v>
      </c>
      <c r="C22" s="111">
        <v>3500000</v>
      </c>
      <c r="G22" s="9" t="s">
        <v>180</v>
      </c>
      <c r="J22" s="112">
        <v>0</v>
      </c>
      <c r="K22" s="112">
        <v>0.67</v>
      </c>
      <c r="L22" s="112">
        <v>0.67</v>
      </c>
      <c r="M22" s="112">
        <v>0.75</v>
      </c>
      <c r="N22" s="112">
        <v>0.75</v>
      </c>
      <c r="O22" s="113">
        <v>0.67</v>
      </c>
      <c r="P22" s="113">
        <v>0.67</v>
      </c>
      <c r="Q22" s="113">
        <v>0.75</v>
      </c>
      <c r="R22" s="113">
        <v>0.75</v>
      </c>
      <c r="S22" s="113">
        <v>0.75</v>
      </c>
      <c r="T22" s="113">
        <v>0.75</v>
      </c>
      <c r="U22" s="113">
        <v>0.9</v>
      </c>
      <c r="X22" s="113">
        <v>1</v>
      </c>
      <c r="Y22" s="113">
        <v>1</v>
      </c>
      <c r="Z22" s="113">
        <v>1</v>
      </c>
      <c r="AA22" s="113">
        <v>1</v>
      </c>
      <c r="AB22" s="113">
        <v>1</v>
      </c>
      <c r="AC22" s="113">
        <v>1</v>
      </c>
      <c r="AD22" s="113">
        <v>1</v>
      </c>
      <c r="AE22" s="113">
        <v>1</v>
      </c>
      <c r="AF22" s="113">
        <v>1</v>
      </c>
      <c r="AG22" s="113">
        <v>1</v>
      </c>
      <c r="AH22" s="113">
        <v>1</v>
      </c>
      <c r="AI22" s="113">
        <v>1</v>
      </c>
      <c r="AL22" s="113">
        <v>1</v>
      </c>
      <c r="AM22" s="113">
        <v>1</v>
      </c>
      <c r="AN22" s="113">
        <v>1</v>
      </c>
      <c r="AO22" s="113">
        <v>1</v>
      </c>
      <c r="AP22" s="113">
        <v>1</v>
      </c>
      <c r="AQ22" s="113">
        <v>1</v>
      </c>
      <c r="AR22" s="113">
        <v>1</v>
      </c>
      <c r="AS22" s="113">
        <v>1</v>
      </c>
      <c r="AT22" s="113">
        <v>1</v>
      </c>
      <c r="AU22" s="113">
        <v>1</v>
      </c>
      <c r="AV22" s="113">
        <v>1</v>
      </c>
      <c r="AW22" s="113">
        <v>1</v>
      </c>
    </row>
    <row r="23" spans="2:49" x14ac:dyDescent="0.3">
      <c r="F23" s="7" t="s">
        <v>35</v>
      </c>
      <c r="G23" s="10"/>
      <c r="H23" s="10"/>
      <c r="I23" s="10"/>
      <c r="J23" s="133">
        <f>SUM(J24:J33)</f>
        <v>0</v>
      </c>
      <c r="K23" s="133">
        <f t="shared" ref="K23:U23" si="80">SUM(K24:K33)</f>
        <v>81809833.333333328</v>
      </c>
      <c r="L23" s="133">
        <f t="shared" si="80"/>
        <v>81809833.333333328</v>
      </c>
      <c r="M23" s="133">
        <f t="shared" si="80"/>
        <v>87009833.333333328</v>
      </c>
      <c r="N23" s="133">
        <f t="shared" si="80"/>
        <v>87009833.333333328</v>
      </c>
      <c r="O23" s="133">
        <f t="shared" si="80"/>
        <v>81809833.333333328</v>
      </c>
      <c r="P23" s="133">
        <f t="shared" si="80"/>
        <v>81809833.333333328</v>
      </c>
      <c r="Q23" s="133">
        <f t="shared" si="80"/>
        <v>87009833.333333328</v>
      </c>
      <c r="R23" s="133">
        <f t="shared" si="80"/>
        <v>87009833.333333328</v>
      </c>
      <c r="S23" s="133">
        <f t="shared" si="80"/>
        <v>87009833.333333328</v>
      </c>
      <c r="T23" s="133">
        <f t="shared" si="80"/>
        <v>87009833.333333328</v>
      </c>
      <c r="U23" s="133">
        <f t="shared" si="80"/>
        <v>96759833.333333328</v>
      </c>
      <c r="W23" s="10"/>
      <c r="X23" s="133">
        <f>SUM(X24:X33)</f>
        <v>103259833.33333333</v>
      </c>
      <c r="Y23" s="133">
        <f t="shared" ref="Y23:AI23" si="81">SUM(Y24:Y33)</f>
        <v>103259833.33333333</v>
      </c>
      <c r="Z23" s="133">
        <f t="shared" si="81"/>
        <v>103259833.33333333</v>
      </c>
      <c r="AA23" s="133">
        <f t="shared" si="81"/>
        <v>103259833.33333333</v>
      </c>
      <c r="AB23" s="133">
        <f t="shared" si="81"/>
        <v>103259833.33333333</v>
      </c>
      <c r="AC23" s="133">
        <f t="shared" si="81"/>
        <v>103259833.33333333</v>
      </c>
      <c r="AD23" s="133">
        <f t="shared" si="81"/>
        <v>103259833.33333333</v>
      </c>
      <c r="AE23" s="133">
        <f t="shared" si="81"/>
        <v>103259833.33333333</v>
      </c>
      <c r="AF23" s="133">
        <f t="shared" si="81"/>
        <v>103259833.33333333</v>
      </c>
      <c r="AG23" s="133">
        <f t="shared" si="81"/>
        <v>103259833.33333333</v>
      </c>
      <c r="AH23" s="133">
        <f t="shared" si="81"/>
        <v>103259833.33333333</v>
      </c>
      <c r="AI23" s="133">
        <f t="shared" si="81"/>
        <v>103259833.33333333</v>
      </c>
      <c r="AK23" s="10"/>
      <c r="AL23" s="133">
        <f>SUM(AL24:AL33)</f>
        <v>103259833.33333333</v>
      </c>
      <c r="AM23" s="133">
        <f t="shared" ref="AM23:AW23" si="82">SUM(AM24:AM33)</f>
        <v>103259833.33333333</v>
      </c>
      <c r="AN23" s="133">
        <f t="shared" si="82"/>
        <v>103259833.33333333</v>
      </c>
      <c r="AO23" s="133">
        <f t="shared" si="82"/>
        <v>103259833.33333333</v>
      </c>
      <c r="AP23" s="133">
        <f t="shared" si="82"/>
        <v>103259833.33333333</v>
      </c>
      <c r="AQ23" s="133">
        <f t="shared" si="82"/>
        <v>103259833.33333333</v>
      </c>
      <c r="AR23" s="133">
        <f t="shared" si="82"/>
        <v>103259833.33333333</v>
      </c>
      <c r="AS23" s="133">
        <f t="shared" si="82"/>
        <v>103259833.33333333</v>
      </c>
      <c r="AT23" s="133">
        <f t="shared" si="82"/>
        <v>103259833.33333333</v>
      </c>
      <c r="AU23" s="133">
        <f t="shared" si="82"/>
        <v>103259833.33333333</v>
      </c>
      <c r="AV23" s="133">
        <f t="shared" si="82"/>
        <v>103259833.33333333</v>
      </c>
      <c r="AW23" s="133">
        <f t="shared" si="82"/>
        <v>103259833.33333333</v>
      </c>
    </row>
    <row r="24" spans="2:49" x14ac:dyDescent="0.3">
      <c r="B24" s="85" t="s">
        <v>34</v>
      </c>
      <c r="C24" s="111">
        <v>2500000</v>
      </c>
      <c r="F24" t="s">
        <v>244</v>
      </c>
      <c r="G24" s="17" t="s">
        <v>36</v>
      </c>
      <c r="J24" s="135">
        <f t="shared" ref="J24:U24" si="83">$C$18*J22</f>
        <v>0</v>
      </c>
      <c r="K24" s="135">
        <f t="shared" si="83"/>
        <v>40200000</v>
      </c>
      <c r="L24" s="135">
        <f t="shared" si="83"/>
        <v>40200000</v>
      </c>
      <c r="M24" s="135">
        <f t="shared" si="83"/>
        <v>45000000</v>
      </c>
      <c r="N24" s="135">
        <f t="shared" si="83"/>
        <v>45000000</v>
      </c>
      <c r="O24" s="135">
        <f t="shared" si="83"/>
        <v>40200000</v>
      </c>
      <c r="P24" s="135">
        <f t="shared" si="83"/>
        <v>40200000</v>
      </c>
      <c r="Q24" s="135">
        <f t="shared" si="83"/>
        <v>45000000</v>
      </c>
      <c r="R24" s="135">
        <f t="shared" si="83"/>
        <v>45000000</v>
      </c>
      <c r="S24" s="135">
        <f t="shared" si="83"/>
        <v>45000000</v>
      </c>
      <c r="T24" s="135">
        <f t="shared" si="83"/>
        <v>45000000</v>
      </c>
      <c r="U24" s="135">
        <f t="shared" si="83"/>
        <v>54000000</v>
      </c>
      <c r="X24" s="135">
        <f t="shared" ref="X24:AI24" si="84">$C$18*X22</f>
        <v>60000000</v>
      </c>
      <c r="Y24" s="135">
        <f t="shared" si="84"/>
        <v>60000000</v>
      </c>
      <c r="Z24" s="135">
        <f t="shared" si="84"/>
        <v>60000000</v>
      </c>
      <c r="AA24" s="135">
        <f t="shared" si="84"/>
        <v>60000000</v>
      </c>
      <c r="AB24" s="135">
        <f t="shared" si="84"/>
        <v>60000000</v>
      </c>
      <c r="AC24" s="135">
        <f t="shared" si="84"/>
        <v>60000000</v>
      </c>
      <c r="AD24" s="135">
        <f t="shared" si="84"/>
        <v>60000000</v>
      </c>
      <c r="AE24" s="135">
        <f t="shared" si="84"/>
        <v>60000000</v>
      </c>
      <c r="AF24" s="135">
        <f t="shared" si="84"/>
        <v>60000000</v>
      </c>
      <c r="AG24" s="135">
        <f t="shared" si="84"/>
        <v>60000000</v>
      </c>
      <c r="AH24" s="135">
        <f t="shared" si="84"/>
        <v>60000000</v>
      </c>
      <c r="AI24" s="135">
        <f t="shared" si="84"/>
        <v>60000000</v>
      </c>
      <c r="AL24" s="135">
        <f t="shared" ref="AL24:AW24" si="85">$C$18*AL22</f>
        <v>60000000</v>
      </c>
      <c r="AM24" s="135">
        <f t="shared" si="85"/>
        <v>60000000</v>
      </c>
      <c r="AN24" s="135">
        <f t="shared" si="85"/>
        <v>60000000</v>
      </c>
      <c r="AO24" s="135">
        <f t="shared" si="85"/>
        <v>60000000</v>
      </c>
      <c r="AP24" s="135">
        <f t="shared" si="85"/>
        <v>60000000</v>
      </c>
      <c r="AQ24" s="135">
        <f t="shared" si="85"/>
        <v>60000000</v>
      </c>
      <c r="AR24" s="135">
        <f t="shared" si="85"/>
        <v>60000000</v>
      </c>
      <c r="AS24" s="135">
        <f t="shared" si="85"/>
        <v>60000000</v>
      </c>
      <c r="AT24" s="135">
        <f t="shared" si="85"/>
        <v>60000000</v>
      </c>
      <c r="AU24" s="135">
        <f t="shared" si="85"/>
        <v>60000000</v>
      </c>
      <c r="AV24" s="135">
        <f t="shared" si="85"/>
        <v>60000000</v>
      </c>
      <c r="AW24" s="135">
        <f t="shared" si="85"/>
        <v>60000000</v>
      </c>
    </row>
    <row r="25" spans="2:49" x14ac:dyDescent="0.3">
      <c r="E25" t="s">
        <v>243</v>
      </c>
      <c r="G25" t="s">
        <v>37</v>
      </c>
      <c r="J25" s="135">
        <v>0</v>
      </c>
      <c r="K25" s="135">
        <f t="shared" ref="K25:U25" si="86">$C$45</f>
        <v>15000000</v>
      </c>
      <c r="L25" s="135">
        <f t="shared" si="86"/>
        <v>15000000</v>
      </c>
      <c r="M25" s="135">
        <f t="shared" si="86"/>
        <v>15000000</v>
      </c>
      <c r="N25" s="135">
        <f t="shared" si="86"/>
        <v>15000000</v>
      </c>
      <c r="O25" s="135">
        <f t="shared" si="86"/>
        <v>15000000</v>
      </c>
      <c r="P25" s="135">
        <f t="shared" si="86"/>
        <v>15000000</v>
      </c>
      <c r="Q25" s="135">
        <f t="shared" si="86"/>
        <v>15000000</v>
      </c>
      <c r="R25" s="135">
        <f t="shared" si="86"/>
        <v>15000000</v>
      </c>
      <c r="S25" s="135">
        <f t="shared" si="86"/>
        <v>15000000</v>
      </c>
      <c r="T25" s="135">
        <f t="shared" si="86"/>
        <v>15000000</v>
      </c>
      <c r="U25" s="135">
        <f t="shared" si="86"/>
        <v>15000000</v>
      </c>
      <c r="X25" s="135">
        <f t="shared" ref="X25:AI25" si="87">$C$45</f>
        <v>15000000</v>
      </c>
      <c r="Y25" s="135">
        <f t="shared" si="87"/>
        <v>15000000</v>
      </c>
      <c r="Z25" s="135">
        <f t="shared" si="87"/>
        <v>15000000</v>
      </c>
      <c r="AA25" s="135">
        <f t="shared" si="87"/>
        <v>15000000</v>
      </c>
      <c r="AB25" s="135">
        <f t="shared" si="87"/>
        <v>15000000</v>
      </c>
      <c r="AC25" s="135">
        <f t="shared" si="87"/>
        <v>15000000</v>
      </c>
      <c r="AD25" s="135">
        <f t="shared" si="87"/>
        <v>15000000</v>
      </c>
      <c r="AE25" s="135">
        <f t="shared" si="87"/>
        <v>15000000</v>
      </c>
      <c r="AF25" s="135">
        <f t="shared" si="87"/>
        <v>15000000</v>
      </c>
      <c r="AG25" s="135">
        <f t="shared" si="87"/>
        <v>15000000</v>
      </c>
      <c r="AH25" s="135">
        <f t="shared" si="87"/>
        <v>15000000</v>
      </c>
      <c r="AI25" s="135">
        <f t="shared" si="87"/>
        <v>15000000</v>
      </c>
      <c r="AL25" s="135">
        <f t="shared" ref="AL25:AW25" si="88">$C$45</f>
        <v>15000000</v>
      </c>
      <c r="AM25" s="135">
        <f t="shared" si="88"/>
        <v>15000000</v>
      </c>
      <c r="AN25" s="135">
        <f t="shared" si="88"/>
        <v>15000000</v>
      </c>
      <c r="AO25" s="135">
        <f t="shared" si="88"/>
        <v>15000000</v>
      </c>
      <c r="AP25" s="135">
        <f t="shared" si="88"/>
        <v>15000000</v>
      </c>
      <c r="AQ25" s="135">
        <f t="shared" si="88"/>
        <v>15000000</v>
      </c>
      <c r="AR25" s="135">
        <f t="shared" si="88"/>
        <v>15000000</v>
      </c>
      <c r="AS25" s="135">
        <f t="shared" si="88"/>
        <v>15000000</v>
      </c>
      <c r="AT25" s="135">
        <f t="shared" si="88"/>
        <v>15000000</v>
      </c>
      <c r="AU25" s="135">
        <f t="shared" si="88"/>
        <v>15000000</v>
      </c>
      <c r="AV25" s="135">
        <f t="shared" si="88"/>
        <v>15000000</v>
      </c>
      <c r="AW25" s="135">
        <f t="shared" si="88"/>
        <v>15000000</v>
      </c>
    </row>
    <row r="26" spans="2:49" x14ac:dyDescent="0.3">
      <c r="B26" s="85" t="s">
        <v>28</v>
      </c>
      <c r="C26" s="116">
        <v>2.5000000000000001E-3</v>
      </c>
      <c r="F26" t="s">
        <v>244</v>
      </c>
      <c r="G26" t="s">
        <v>38</v>
      </c>
      <c r="J26" s="135">
        <v>0</v>
      </c>
      <c r="K26" s="135">
        <f t="shared" ref="K26:U26" si="89">$C$46</f>
        <v>6800000</v>
      </c>
      <c r="L26" s="135">
        <f t="shared" si="89"/>
        <v>6800000</v>
      </c>
      <c r="M26" s="135">
        <f t="shared" si="89"/>
        <v>6800000</v>
      </c>
      <c r="N26" s="135">
        <f t="shared" si="89"/>
        <v>6800000</v>
      </c>
      <c r="O26" s="135">
        <f t="shared" si="89"/>
        <v>6800000</v>
      </c>
      <c r="P26" s="135">
        <f t="shared" si="89"/>
        <v>6800000</v>
      </c>
      <c r="Q26" s="135">
        <f t="shared" si="89"/>
        <v>6800000</v>
      </c>
      <c r="R26" s="135">
        <f t="shared" si="89"/>
        <v>6800000</v>
      </c>
      <c r="S26" s="135">
        <f t="shared" si="89"/>
        <v>6800000</v>
      </c>
      <c r="T26" s="135">
        <f t="shared" si="89"/>
        <v>6800000</v>
      </c>
      <c r="U26" s="135">
        <f t="shared" si="89"/>
        <v>6800000</v>
      </c>
      <c r="X26" s="135">
        <f t="shared" ref="X26:AI26" si="90">$C$46</f>
        <v>6800000</v>
      </c>
      <c r="Y26" s="135">
        <f t="shared" si="90"/>
        <v>6800000</v>
      </c>
      <c r="Z26" s="135">
        <f t="shared" si="90"/>
        <v>6800000</v>
      </c>
      <c r="AA26" s="135">
        <f t="shared" si="90"/>
        <v>6800000</v>
      </c>
      <c r="AB26" s="135">
        <f t="shared" si="90"/>
        <v>6800000</v>
      </c>
      <c r="AC26" s="135">
        <f t="shared" si="90"/>
        <v>6800000</v>
      </c>
      <c r="AD26" s="135">
        <f t="shared" si="90"/>
        <v>6800000</v>
      </c>
      <c r="AE26" s="135">
        <f t="shared" si="90"/>
        <v>6800000</v>
      </c>
      <c r="AF26" s="135">
        <f t="shared" si="90"/>
        <v>6800000</v>
      </c>
      <c r="AG26" s="135">
        <f t="shared" si="90"/>
        <v>6800000</v>
      </c>
      <c r="AH26" s="135">
        <f t="shared" si="90"/>
        <v>6800000</v>
      </c>
      <c r="AI26" s="135">
        <f t="shared" si="90"/>
        <v>6800000</v>
      </c>
      <c r="AL26" s="135">
        <f t="shared" ref="AL26:AW26" si="91">$C$46</f>
        <v>6800000</v>
      </c>
      <c r="AM26" s="135">
        <f t="shared" si="91"/>
        <v>6800000</v>
      </c>
      <c r="AN26" s="135">
        <f t="shared" si="91"/>
        <v>6800000</v>
      </c>
      <c r="AO26" s="135">
        <f t="shared" si="91"/>
        <v>6800000</v>
      </c>
      <c r="AP26" s="135">
        <f t="shared" si="91"/>
        <v>6800000</v>
      </c>
      <c r="AQ26" s="135">
        <f t="shared" si="91"/>
        <v>6800000</v>
      </c>
      <c r="AR26" s="135">
        <f t="shared" si="91"/>
        <v>6800000</v>
      </c>
      <c r="AS26" s="135">
        <f t="shared" si="91"/>
        <v>6800000</v>
      </c>
      <c r="AT26" s="135">
        <f t="shared" si="91"/>
        <v>6800000</v>
      </c>
      <c r="AU26" s="135">
        <f t="shared" si="91"/>
        <v>6800000</v>
      </c>
      <c r="AV26" s="135">
        <f t="shared" si="91"/>
        <v>6800000</v>
      </c>
      <c r="AW26" s="135">
        <f t="shared" si="91"/>
        <v>6800000</v>
      </c>
    </row>
    <row r="27" spans="2:49" x14ac:dyDescent="0.3">
      <c r="F27" t="s">
        <v>244</v>
      </c>
      <c r="G27" t="s">
        <v>27</v>
      </c>
      <c r="J27" s="135">
        <v>0</v>
      </c>
      <c r="K27" s="135">
        <f t="shared" ref="K27:U27" si="92">$C$16</f>
        <v>3000000</v>
      </c>
      <c r="L27" s="135">
        <f t="shared" si="92"/>
        <v>3000000</v>
      </c>
      <c r="M27" s="135">
        <f t="shared" si="92"/>
        <v>3000000</v>
      </c>
      <c r="N27" s="135">
        <f t="shared" si="92"/>
        <v>3000000</v>
      </c>
      <c r="O27" s="135">
        <f t="shared" si="92"/>
        <v>3000000</v>
      </c>
      <c r="P27" s="135">
        <f t="shared" si="92"/>
        <v>3000000</v>
      </c>
      <c r="Q27" s="135">
        <f t="shared" si="92"/>
        <v>3000000</v>
      </c>
      <c r="R27" s="135">
        <f t="shared" si="92"/>
        <v>3000000</v>
      </c>
      <c r="S27" s="135">
        <f t="shared" si="92"/>
        <v>3000000</v>
      </c>
      <c r="T27" s="135">
        <f t="shared" si="92"/>
        <v>3000000</v>
      </c>
      <c r="U27" s="135">
        <f t="shared" si="92"/>
        <v>3000000</v>
      </c>
      <c r="X27" s="135">
        <f>$C$16</f>
        <v>3000000</v>
      </c>
      <c r="Y27" s="135">
        <f t="shared" ref="Y27:AI27" si="93">$C$16</f>
        <v>3000000</v>
      </c>
      <c r="Z27" s="135">
        <f t="shared" si="93"/>
        <v>3000000</v>
      </c>
      <c r="AA27" s="135">
        <f t="shared" si="93"/>
        <v>3000000</v>
      </c>
      <c r="AB27" s="135">
        <f t="shared" si="93"/>
        <v>3000000</v>
      </c>
      <c r="AC27" s="135">
        <f t="shared" si="93"/>
        <v>3000000</v>
      </c>
      <c r="AD27" s="135">
        <f t="shared" si="93"/>
        <v>3000000</v>
      </c>
      <c r="AE27" s="135">
        <f t="shared" si="93"/>
        <v>3000000</v>
      </c>
      <c r="AF27" s="135">
        <f t="shared" si="93"/>
        <v>3000000</v>
      </c>
      <c r="AG27" s="135">
        <f t="shared" si="93"/>
        <v>3000000</v>
      </c>
      <c r="AH27" s="135">
        <f t="shared" si="93"/>
        <v>3000000</v>
      </c>
      <c r="AI27" s="135">
        <f t="shared" si="93"/>
        <v>3000000</v>
      </c>
      <c r="AL27" s="135">
        <f>$C$16</f>
        <v>3000000</v>
      </c>
      <c r="AM27" s="135">
        <f t="shared" ref="AM27:AW27" si="94">$C$16</f>
        <v>3000000</v>
      </c>
      <c r="AN27" s="135">
        <f t="shared" si="94"/>
        <v>3000000</v>
      </c>
      <c r="AO27" s="135">
        <f t="shared" si="94"/>
        <v>3000000</v>
      </c>
      <c r="AP27" s="135">
        <f t="shared" si="94"/>
        <v>3000000</v>
      </c>
      <c r="AQ27" s="135">
        <f t="shared" si="94"/>
        <v>3000000</v>
      </c>
      <c r="AR27" s="135">
        <f t="shared" si="94"/>
        <v>3000000</v>
      </c>
      <c r="AS27" s="135">
        <f t="shared" si="94"/>
        <v>3000000</v>
      </c>
      <c r="AT27" s="135">
        <f t="shared" si="94"/>
        <v>3000000</v>
      </c>
      <c r="AU27" s="135">
        <f t="shared" si="94"/>
        <v>3000000</v>
      </c>
      <c r="AV27" s="135">
        <f t="shared" si="94"/>
        <v>3000000</v>
      </c>
      <c r="AW27" s="135">
        <f t="shared" si="94"/>
        <v>3000000</v>
      </c>
    </row>
    <row r="28" spans="2:49" x14ac:dyDescent="0.3">
      <c r="B28" s="85" t="s">
        <v>29</v>
      </c>
      <c r="C28" s="110">
        <v>0</v>
      </c>
      <c r="F28" t="s">
        <v>244</v>
      </c>
      <c r="G28" t="s">
        <v>33</v>
      </c>
      <c r="J28" s="135">
        <v>0</v>
      </c>
      <c r="K28" s="135">
        <f t="shared" ref="K28:U28" si="95">$C$22</f>
        <v>3500000</v>
      </c>
      <c r="L28" s="135">
        <f t="shared" si="95"/>
        <v>3500000</v>
      </c>
      <c r="M28" s="135">
        <f t="shared" si="95"/>
        <v>3500000</v>
      </c>
      <c r="N28" s="135">
        <f t="shared" si="95"/>
        <v>3500000</v>
      </c>
      <c r="O28" s="135">
        <f t="shared" si="95"/>
        <v>3500000</v>
      </c>
      <c r="P28" s="135">
        <f t="shared" si="95"/>
        <v>3500000</v>
      </c>
      <c r="Q28" s="135">
        <f t="shared" si="95"/>
        <v>3500000</v>
      </c>
      <c r="R28" s="135">
        <f t="shared" si="95"/>
        <v>3500000</v>
      </c>
      <c r="S28" s="135">
        <f t="shared" si="95"/>
        <v>3500000</v>
      </c>
      <c r="T28" s="135">
        <f t="shared" si="95"/>
        <v>3500000</v>
      </c>
      <c r="U28" s="135">
        <f t="shared" si="95"/>
        <v>3500000</v>
      </c>
      <c r="X28" s="135">
        <f t="shared" ref="X28:AI28" si="96">$C$22</f>
        <v>3500000</v>
      </c>
      <c r="Y28" s="135">
        <f t="shared" si="96"/>
        <v>3500000</v>
      </c>
      <c r="Z28" s="135">
        <f t="shared" si="96"/>
        <v>3500000</v>
      </c>
      <c r="AA28" s="135">
        <f t="shared" si="96"/>
        <v>3500000</v>
      </c>
      <c r="AB28" s="135">
        <f t="shared" si="96"/>
        <v>3500000</v>
      </c>
      <c r="AC28" s="135">
        <f t="shared" si="96"/>
        <v>3500000</v>
      </c>
      <c r="AD28" s="135">
        <f t="shared" si="96"/>
        <v>3500000</v>
      </c>
      <c r="AE28" s="135">
        <f t="shared" si="96"/>
        <v>3500000</v>
      </c>
      <c r="AF28" s="135">
        <f t="shared" si="96"/>
        <v>3500000</v>
      </c>
      <c r="AG28" s="135">
        <f t="shared" si="96"/>
        <v>3500000</v>
      </c>
      <c r="AH28" s="135">
        <f t="shared" si="96"/>
        <v>3500000</v>
      </c>
      <c r="AI28" s="135">
        <f t="shared" si="96"/>
        <v>3500000</v>
      </c>
      <c r="AL28" s="135">
        <f t="shared" ref="AL28:AW28" si="97">$C$22</f>
        <v>3500000</v>
      </c>
      <c r="AM28" s="135">
        <f t="shared" si="97"/>
        <v>3500000</v>
      </c>
      <c r="AN28" s="135">
        <f t="shared" si="97"/>
        <v>3500000</v>
      </c>
      <c r="AO28" s="135">
        <f t="shared" si="97"/>
        <v>3500000</v>
      </c>
      <c r="AP28" s="135">
        <f t="shared" si="97"/>
        <v>3500000</v>
      </c>
      <c r="AQ28" s="135">
        <f t="shared" si="97"/>
        <v>3500000</v>
      </c>
      <c r="AR28" s="135">
        <f t="shared" si="97"/>
        <v>3500000</v>
      </c>
      <c r="AS28" s="135">
        <f t="shared" si="97"/>
        <v>3500000</v>
      </c>
      <c r="AT28" s="135">
        <f t="shared" si="97"/>
        <v>3500000</v>
      </c>
      <c r="AU28" s="135">
        <f t="shared" si="97"/>
        <v>3500000</v>
      </c>
      <c r="AV28" s="135">
        <f t="shared" si="97"/>
        <v>3500000</v>
      </c>
      <c r="AW28" s="135">
        <f t="shared" si="97"/>
        <v>3500000</v>
      </c>
    </row>
    <row r="29" spans="2:49" x14ac:dyDescent="0.3">
      <c r="F29" t="s">
        <v>244</v>
      </c>
      <c r="G29" t="s">
        <v>34</v>
      </c>
      <c r="J29" s="135">
        <v>0</v>
      </c>
      <c r="K29" s="135">
        <f t="shared" ref="K29:U29" si="98">$C$24</f>
        <v>2500000</v>
      </c>
      <c r="L29" s="135">
        <f t="shared" si="98"/>
        <v>2500000</v>
      </c>
      <c r="M29" s="135">
        <f t="shared" si="98"/>
        <v>2500000</v>
      </c>
      <c r="N29" s="135">
        <f t="shared" si="98"/>
        <v>2500000</v>
      </c>
      <c r="O29" s="135">
        <f t="shared" si="98"/>
        <v>2500000</v>
      </c>
      <c r="P29" s="135">
        <f t="shared" si="98"/>
        <v>2500000</v>
      </c>
      <c r="Q29" s="135">
        <f t="shared" si="98"/>
        <v>2500000</v>
      </c>
      <c r="R29" s="135">
        <f t="shared" si="98"/>
        <v>2500000</v>
      </c>
      <c r="S29" s="135">
        <f t="shared" si="98"/>
        <v>2500000</v>
      </c>
      <c r="T29" s="135">
        <f t="shared" si="98"/>
        <v>2500000</v>
      </c>
      <c r="U29" s="135">
        <f t="shared" si="98"/>
        <v>2500000</v>
      </c>
      <c r="X29" s="135">
        <f t="shared" ref="X29:AI29" si="99">$C$24</f>
        <v>2500000</v>
      </c>
      <c r="Y29" s="135">
        <f t="shared" si="99"/>
        <v>2500000</v>
      </c>
      <c r="Z29" s="135">
        <f t="shared" si="99"/>
        <v>2500000</v>
      </c>
      <c r="AA29" s="135">
        <f t="shared" si="99"/>
        <v>2500000</v>
      </c>
      <c r="AB29" s="135">
        <f t="shared" si="99"/>
        <v>2500000</v>
      </c>
      <c r="AC29" s="135">
        <f t="shared" si="99"/>
        <v>2500000</v>
      </c>
      <c r="AD29" s="135">
        <f t="shared" si="99"/>
        <v>2500000</v>
      </c>
      <c r="AE29" s="135">
        <f t="shared" si="99"/>
        <v>2500000</v>
      </c>
      <c r="AF29" s="135">
        <f t="shared" si="99"/>
        <v>2500000</v>
      </c>
      <c r="AG29" s="135">
        <f t="shared" si="99"/>
        <v>2500000</v>
      </c>
      <c r="AH29" s="135">
        <f t="shared" si="99"/>
        <v>2500000</v>
      </c>
      <c r="AI29" s="135">
        <f t="shared" si="99"/>
        <v>2500000</v>
      </c>
      <c r="AL29" s="135">
        <f t="shared" ref="AL29:AW29" si="100">$C$24</f>
        <v>2500000</v>
      </c>
      <c r="AM29" s="135">
        <f t="shared" si="100"/>
        <v>2500000</v>
      </c>
      <c r="AN29" s="135">
        <f t="shared" si="100"/>
        <v>2500000</v>
      </c>
      <c r="AO29" s="135">
        <f t="shared" si="100"/>
        <v>2500000</v>
      </c>
      <c r="AP29" s="135">
        <f t="shared" si="100"/>
        <v>2500000</v>
      </c>
      <c r="AQ29" s="135">
        <f t="shared" si="100"/>
        <v>2500000</v>
      </c>
      <c r="AR29" s="135">
        <f t="shared" si="100"/>
        <v>2500000</v>
      </c>
      <c r="AS29" s="135">
        <f t="shared" si="100"/>
        <v>2500000</v>
      </c>
      <c r="AT29" s="135">
        <f t="shared" si="100"/>
        <v>2500000</v>
      </c>
      <c r="AU29" s="135">
        <f t="shared" si="100"/>
        <v>2500000</v>
      </c>
      <c r="AV29" s="135">
        <f t="shared" si="100"/>
        <v>2500000</v>
      </c>
      <c r="AW29" s="135">
        <f t="shared" si="100"/>
        <v>2500000</v>
      </c>
    </row>
    <row r="30" spans="2:49" x14ac:dyDescent="0.3">
      <c r="B30" s="85" t="s">
        <v>183</v>
      </c>
      <c r="C30" s="110">
        <v>0.05</v>
      </c>
      <c r="G30" t="s">
        <v>39</v>
      </c>
      <c r="J30" s="135">
        <v>0</v>
      </c>
      <c r="K30" s="135">
        <f t="shared" ref="K30:U30" si="101">(K24+K31+K32)/12</f>
        <v>3923833.3333333335</v>
      </c>
      <c r="L30" s="135">
        <f t="shared" si="101"/>
        <v>3923833.3333333335</v>
      </c>
      <c r="M30" s="135">
        <f t="shared" si="101"/>
        <v>4323833.333333333</v>
      </c>
      <c r="N30" s="135">
        <f t="shared" si="101"/>
        <v>4323833.333333333</v>
      </c>
      <c r="O30" s="135">
        <f t="shared" si="101"/>
        <v>3923833.3333333335</v>
      </c>
      <c r="P30" s="135">
        <f t="shared" si="101"/>
        <v>3923833.3333333335</v>
      </c>
      <c r="Q30" s="135">
        <f t="shared" si="101"/>
        <v>4323833.333333333</v>
      </c>
      <c r="R30" s="135">
        <f t="shared" si="101"/>
        <v>4323833.333333333</v>
      </c>
      <c r="S30" s="135">
        <f t="shared" si="101"/>
        <v>4323833.333333333</v>
      </c>
      <c r="T30" s="135">
        <f t="shared" si="101"/>
        <v>4323833.333333333</v>
      </c>
      <c r="U30" s="135">
        <f t="shared" si="101"/>
        <v>5073833.333333333</v>
      </c>
      <c r="X30" s="135">
        <f t="shared" ref="X30" si="102">(X24+X31+X32)/12</f>
        <v>5573833.333333333</v>
      </c>
      <c r="Y30" s="135">
        <f t="shared" ref="Y30" si="103">(Y24+Y31+Y32)/12</f>
        <v>5573833.333333333</v>
      </c>
      <c r="Z30" s="135">
        <f t="shared" ref="Z30" si="104">(Z24+Z31+Z32)/12</f>
        <v>5573833.333333333</v>
      </c>
      <c r="AA30" s="135">
        <f t="shared" ref="AA30" si="105">(AA24+AA31+AA32)/12</f>
        <v>5573833.333333333</v>
      </c>
      <c r="AB30" s="135">
        <f t="shared" ref="AB30" si="106">(AB24+AB31+AB32)/12</f>
        <v>5573833.333333333</v>
      </c>
      <c r="AC30" s="135">
        <f t="shared" ref="AC30" si="107">(AC24+AC31+AC32)/12</f>
        <v>5573833.333333333</v>
      </c>
      <c r="AD30" s="135">
        <f t="shared" ref="AD30" si="108">(AD24+AD31+AD32)/12</f>
        <v>5573833.333333333</v>
      </c>
      <c r="AE30" s="135">
        <f t="shared" ref="AE30" si="109">(AE24+AE31+AE32)/12</f>
        <v>5573833.333333333</v>
      </c>
      <c r="AF30" s="135">
        <f t="shared" ref="AF30" si="110">(AF24+AF31+AF32)/12</f>
        <v>5573833.333333333</v>
      </c>
      <c r="AG30" s="135">
        <f t="shared" ref="AG30" si="111">(AG24+AG31+AG32)/12</f>
        <v>5573833.333333333</v>
      </c>
      <c r="AH30" s="135">
        <f t="shared" ref="AH30" si="112">(AH24+AH31+AH32)/12</f>
        <v>5573833.333333333</v>
      </c>
      <c r="AI30" s="135">
        <f t="shared" ref="AI30" si="113">(AI24+AI31+AI32)/12</f>
        <v>5573833.333333333</v>
      </c>
      <c r="AL30" s="135">
        <f t="shared" ref="AL30" si="114">(AL24+AL31+AL32)/12</f>
        <v>5573833.333333333</v>
      </c>
      <c r="AM30" s="135">
        <f t="shared" ref="AM30" si="115">(AM24+AM31+AM32)/12</f>
        <v>5573833.333333333</v>
      </c>
      <c r="AN30" s="135">
        <f t="shared" ref="AN30" si="116">(AN24+AN31+AN32)/12</f>
        <v>5573833.333333333</v>
      </c>
      <c r="AO30" s="135">
        <f t="shared" ref="AO30" si="117">(AO24+AO31+AO32)/12</f>
        <v>5573833.333333333</v>
      </c>
      <c r="AP30" s="135">
        <f t="shared" ref="AP30" si="118">(AP24+AP31+AP32)/12</f>
        <v>5573833.333333333</v>
      </c>
      <c r="AQ30" s="135">
        <f t="shared" ref="AQ30" si="119">(AQ24+AQ31+AQ32)/12</f>
        <v>5573833.333333333</v>
      </c>
      <c r="AR30" s="135">
        <f t="shared" ref="AR30" si="120">(AR24+AR31+AR32)/12</f>
        <v>5573833.333333333</v>
      </c>
      <c r="AS30" s="135">
        <f t="shared" ref="AS30" si="121">(AS24+AS31+AS32)/12</f>
        <v>5573833.333333333</v>
      </c>
      <c r="AT30" s="135">
        <f t="shared" ref="AT30" si="122">(AT24+AT31+AT32)/12</f>
        <v>5573833.333333333</v>
      </c>
      <c r="AU30" s="135">
        <f t="shared" ref="AU30" si="123">(AU24+AU31+AU32)/12</f>
        <v>5573833.333333333</v>
      </c>
      <c r="AV30" s="135">
        <f t="shared" ref="AV30" si="124">(AV24+AV31+AV32)/12</f>
        <v>5573833.333333333</v>
      </c>
      <c r="AW30" s="135">
        <f t="shared" ref="AW30" si="125">(AW24+AW31+AW32)/12</f>
        <v>5573833.333333333</v>
      </c>
    </row>
    <row r="31" spans="2:49" x14ac:dyDescent="0.3">
      <c r="F31" t="s">
        <v>244</v>
      </c>
      <c r="G31" t="s">
        <v>40</v>
      </c>
      <c r="J31" s="135">
        <v>0</v>
      </c>
      <c r="K31" s="135">
        <f t="shared" ref="K31:U31" si="126">$C$47</f>
        <v>3000000</v>
      </c>
      <c r="L31" s="135">
        <f t="shared" si="126"/>
        <v>3000000</v>
      </c>
      <c r="M31" s="135">
        <f t="shared" si="126"/>
        <v>3000000</v>
      </c>
      <c r="N31" s="135">
        <f t="shared" si="126"/>
        <v>3000000</v>
      </c>
      <c r="O31" s="135">
        <f t="shared" si="126"/>
        <v>3000000</v>
      </c>
      <c r="P31" s="135">
        <f t="shared" si="126"/>
        <v>3000000</v>
      </c>
      <c r="Q31" s="135">
        <f t="shared" si="126"/>
        <v>3000000</v>
      </c>
      <c r="R31" s="135">
        <f t="shared" si="126"/>
        <v>3000000</v>
      </c>
      <c r="S31" s="135">
        <f t="shared" si="126"/>
        <v>3000000</v>
      </c>
      <c r="T31" s="135">
        <f t="shared" si="126"/>
        <v>3000000</v>
      </c>
      <c r="U31" s="135">
        <f t="shared" si="126"/>
        <v>3000000</v>
      </c>
      <c r="X31" s="135">
        <f t="shared" ref="X31:AI31" si="127">$C$47</f>
        <v>3000000</v>
      </c>
      <c r="Y31" s="135">
        <f t="shared" si="127"/>
        <v>3000000</v>
      </c>
      <c r="Z31" s="135">
        <f t="shared" si="127"/>
        <v>3000000</v>
      </c>
      <c r="AA31" s="135">
        <f t="shared" si="127"/>
        <v>3000000</v>
      </c>
      <c r="AB31" s="135">
        <f t="shared" si="127"/>
        <v>3000000</v>
      </c>
      <c r="AC31" s="135">
        <f t="shared" si="127"/>
        <v>3000000</v>
      </c>
      <c r="AD31" s="135">
        <f t="shared" si="127"/>
        <v>3000000</v>
      </c>
      <c r="AE31" s="135">
        <f t="shared" si="127"/>
        <v>3000000</v>
      </c>
      <c r="AF31" s="135">
        <f t="shared" si="127"/>
        <v>3000000</v>
      </c>
      <c r="AG31" s="135">
        <f t="shared" si="127"/>
        <v>3000000</v>
      </c>
      <c r="AH31" s="135">
        <f t="shared" si="127"/>
        <v>3000000</v>
      </c>
      <c r="AI31" s="135">
        <f t="shared" si="127"/>
        <v>3000000</v>
      </c>
      <c r="AL31" s="135">
        <f t="shared" ref="AL31:AW31" si="128">$C$47</f>
        <v>3000000</v>
      </c>
      <c r="AM31" s="135">
        <f t="shared" si="128"/>
        <v>3000000</v>
      </c>
      <c r="AN31" s="135">
        <f t="shared" si="128"/>
        <v>3000000</v>
      </c>
      <c r="AO31" s="135">
        <f t="shared" si="128"/>
        <v>3000000</v>
      </c>
      <c r="AP31" s="135">
        <f t="shared" si="128"/>
        <v>3000000</v>
      </c>
      <c r="AQ31" s="135">
        <f t="shared" si="128"/>
        <v>3000000</v>
      </c>
      <c r="AR31" s="135">
        <f t="shared" si="128"/>
        <v>3000000</v>
      </c>
      <c r="AS31" s="135">
        <f t="shared" si="128"/>
        <v>3000000</v>
      </c>
      <c r="AT31" s="135">
        <f t="shared" si="128"/>
        <v>3000000</v>
      </c>
      <c r="AU31" s="135">
        <f t="shared" si="128"/>
        <v>3000000</v>
      </c>
      <c r="AV31" s="135">
        <f t="shared" si="128"/>
        <v>3000000</v>
      </c>
      <c r="AW31" s="135">
        <f t="shared" si="128"/>
        <v>3000000</v>
      </c>
    </row>
    <row r="32" spans="2:49" x14ac:dyDescent="0.3">
      <c r="B32" s="85" t="s">
        <v>234</v>
      </c>
      <c r="C32" s="115">
        <v>1.4999999999999999E-2</v>
      </c>
      <c r="F32" t="s">
        <v>244</v>
      </c>
      <c r="G32" t="s">
        <v>286</v>
      </c>
      <c r="J32" s="135">
        <v>0</v>
      </c>
      <c r="K32" s="135">
        <f t="shared" ref="K32:U32" si="129">$C$48</f>
        <v>3886000</v>
      </c>
      <c r="L32" s="135">
        <f t="shared" si="129"/>
        <v>3886000</v>
      </c>
      <c r="M32" s="135">
        <f t="shared" si="129"/>
        <v>3886000</v>
      </c>
      <c r="N32" s="135">
        <f t="shared" si="129"/>
        <v>3886000</v>
      </c>
      <c r="O32" s="135">
        <f t="shared" si="129"/>
        <v>3886000</v>
      </c>
      <c r="P32" s="135">
        <f t="shared" si="129"/>
        <v>3886000</v>
      </c>
      <c r="Q32" s="135">
        <f t="shared" si="129"/>
        <v>3886000</v>
      </c>
      <c r="R32" s="135">
        <f t="shared" si="129"/>
        <v>3886000</v>
      </c>
      <c r="S32" s="135">
        <f t="shared" si="129"/>
        <v>3886000</v>
      </c>
      <c r="T32" s="135">
        <f t="shared" si="129"/>
        <v>3886000</v>
      </c>
      <c r="U32" s="135">
        <f t="shared" si="129"/>
        <v>3886000</v>
      </c>
      <c r="X32" s="135">
        <f t="shared" ref="X32:AI32" si="130">$C$48</f>
        <v>3886000</v>
      </c>
      <c r="Y32" s="135">
        <f t="shared" si="130"/>
        <v>3886000</v>
      </c>
      <c r="Z32" s="135">
        <f t="shared" si="130"/>
        <v>3886000</v>
      </c>
      <c r="AA32" s="135">
        <f t="shared" si="130"/>
        <v>3886000</v>
      </c>
      <c r="AB32" s="135">
        <f t="shared" si="130"/>
        <v>3886000</v>
      </c>
      <c r="AC32" s="135">
        <f t="shared" si="130"/>
        <v>3886000</v>
      </c>
      <c r="AD32" s="135">
        <f t="shared" si="130"/>
        <v>3886000</v>
      </c>
      <c r="AE32" s="135">
        <f t="shared" si="130"/>
        <v>3886000</v>
      </c>
      <c r="AF32" s="135">
        <f t="shared" si="130"/>
        <v>3886000</v>
      </c>
      <c r="AG32" s="135">
        <f t="shared" si="130"/>
        <v>3886000</v>
      </c>
      <c r="AH32" s="135">
        <f t="shared" si="130"/>
        <v>3886000</v>
      </c>
      <c r="AI32" s="135">
        <f t="shared" si="130"/>
        <v>3886000</v>
      </c>
      <c r="AL32" s="135">
        <f t="shared" ref="AL32:AW32" si="131">$C$48</f>
        <v>3886000</v>
      </c>
      <c r="AM32" s="135">
        <f t="shared" si="131"/>
        <v>3886000</v>
      </c>
      <c r="AN32" s="135">
        <f t="shared" si="131"/>
        <v>3886000</v>
      </c>
      <c r="AO32" s="135">
        <f t="shared" si="131"/>
        <v>3886000</v>
      </c>
      <c r="AP32" s="135">
        <f t="shared" si="131"/>
        <v>3886000</v>
      </c>
      <c r="AQ32" s="135">
        <f t="shared" si="131"/>
        <v>3886000</v>
      </c>
      <c r="AR32" s="135">
        <f t="shared" si="131"/>
        <v>3886000</v>
      </c>
      <c r="AS32" s="135">
        <f t="shared" si="131"/>
        <v>3886000</v>
      </c>
      <c r="AT32" s="135">
        <f t="shared" si="131"/>
        <v>3886000</v>
      </c>
      <c r="AU32" s="135">
        <f t="shared" si="131"/>
        <v>3886000</v>
      </c>
      <c r="AV32" s="135">
        <f t="shared" si="131"/>
        <v>3886000</v>
      </c>
      <c r="AW32" s="135">
        <f t="shared" si="131"/>
        <v>3886000</v>
      </c>
    </row>
    <row r="34" spans="2:49" ht="18" x14ac:dyDescent="0.35">
      <c r="B34" s="70" t="s">
        <v>98</v>
      </c>
      <c r="C34" s="71">
        <f>'Cash Flow'!C16</f>
        <v>0.46654033369199444</v>
      </c>
      <c r="F34" s="12" t="s">
        <v>41</v>
      </c>
      <c r="G34" s="13"/>
      <c r="H34" s="14" t="s">
        <v>31</v>
      </c>
      <c r="I34" s="14"/>
      <c r="J34" s="137">
        <f>J19-J23</f>
        <v>0</v>
      </c>
      <c r="K34" s="137">
        <f t="shared" ref="K34:U34" si="132">K19-K23</f>
        <v>5331910.6666666567</v>
      </c>
      <c r="L34" s="137">
        <f t="shared" si="132"/>
        <v>2238358.6666666716</v>
      </c>
      <c r="M34" s="137">
        <f t="shared" si="132"/>
        <v>37381758.666666672</v>
      </c>
      <c r="N34" s="137">
        <f t="shared" si="132"/>
        <v>12355458.666666672</v>
      </c>
      <c r="O34" s="137">
        <f t="shared" si="132"/>
        <v>-11703550.333333328</v>
      </c>
      <c r="P34" s="137">
        <f t="shared" si="132"/>
        <v>1118452.6666666716</v>
      </c>
      <c r="Q34" s="137">
        <f t="shared" si="132"/>
        <v>30316641.666666672</v>
      </c>
      <c r="R34" s="137">
        <f t="shared" si="132"/>
        <v>38299110.666666672</v>
      </c>
      <c r="S34" s="137">
        <f t="shared" si="132"/>
        <v>40396632.666666672</v>
      </c>
      <c r="T34" s="137">
        <f t="shared" si="132"/>
        <v>17246886.666666672</v>
      </c>
      <c r="U34" s="137">
        <f t="shared" si="132"/>
        <v>43621806.666666672</v>
      </c>
      <c r="W34" s="14" t="s">
        <v>31</v>
      </c>
      <c r="X34" s="137">
        <f>X19-X23</f>
        <v>33037246.666666672</v>
      </c>
      <c r="Y34" s="137">
        <f t="shared" ref="Y34:AI34" si="133">Y19-Y23</f>
        <v>41976406.666666672</v>
      </c>
      <c r="Z34" s="137">
        <f t="shared" si="133"/>
        <v>36820486.666666672</v>
      </c>
      <c r="AA34" s="137">
        <f t="shared" si="133"/>
        <v>88111846.666666672</v>
      </c>
      <c r="AB34" s="137">
        <f t="shared" si="133"/>
        <v>49609846.666666672</v>
      </c>
      <c r="AC34" s="137">
        <f t="shared" si="133"/>
        <v>4595986.6666666716</v>
      </c>
      <c r="AD34" s="137">
        <f t="shared" si="133"/>
        <v>15209146.666666672</v>
      </c>
      <c r="AE34" s="137">
        <f t="shared" si="133"/>
        <v>53175466.666666672</v>
      </c>
      <c r="AF34" s="137">
        <f t="shared" si="133"/>
        <v>53376346.666666672</v>
      </c>
      <c r="AG34" s="137">
        <f t="shared" si="133"/>
        <v>46630126.666666672</v>
      </c>
      <c r="AH34" s="137">
        <f t="shared" si="133"/>
        <v>12580966.666666672</v>
      </c>
      <c r="AI34" s="137">
        <f t="shared" si="133"/>
        <v>37121806.666666672</v>
      </c>
      <c r="AK34" s="14" t="s">
        <v>31</v>
      </c>
      <c r="AL34" s="137">
        <f>AL19-AL23</f>
        <v>33037246.666666672</v>
      </c>
      <c r="AM34" s="137">
        <f t="shared" ref="AM34:AW34" si="134">AM19-AM23</f>
        <v>41976406.666666672</v>
      </c>
      <c r="AN34" s="137">
        <f t="shared" si="134"/>
        <v>36820486.666666672</v>
      </c>
      <c r="AO34" s="137">
        <f t="shared" si="134"/>
        <v>88111846.666666672</v>
      </c>
      <c r="AP34" s="137">
        <f t="shared" si="134"/>
        <v>49609846.666666672</v>
      </c>
      <c r="AQ34" s="137">
        <f t="shared" si="134"/>
        <v>4595986.6666666716</v>
      </c>
      <c r="AR34" s="137">
        <f t="shared" si="134"/>
        <v>15209146.666666672</v>
      </c>
      <c r="AS34" s="137">
        <f t="shared" si="134"/>
        <v>53175466.666666672</v>
      </c>
      <c r="AT34" s="137">
        <f t="shared" si="134"/>
        <v>53376346.666666672</v>
      </c>
      <c r="AU34" s="137">
        <f t="shared" si="134"/>
        <v>46630126.666666672</v>
      </c>
      <c r="AV34" s="137">
        <f t="shared" si="134"/>
        <v>12580966.666666672</v>
      </c>
      <c r="AW34" s="137">
        <f t="shared" si="134"/>
        <v>37121806.666666672</v>
      </c>
    </row>
    <row r="35" spans="2:49" ht="18" x14ac:dyDescent="0.35">
      <c r="B35" s="70" t="s">
        <v>97</v>
      </c>
      <c r="C35" s="72">
        <f>'Cash Flow'!C14</f>
        <v>561457.36848191405</v>
      </c>
      <c r="F35" s="15"/>
      <c r="G35" s="15"/>
      <c r="H35" s="16" t="s">
        <v>32</v>
      </c>
      <c r="I35" s="16"/>
      <c r="J35" s="138"/>
      <c r="K35" s="138">
        <f t="shared" ref="K35:U35" si="135">K34/K5</f>
        <v>3.3040786514440139E-2</v>
      </c>
      <c r="L35" s="138">
        <f t="shared" si="135"/>
        <v>1.4381197872763315E-2</v>
      </c>
      <c r="M35" s="138">
        <f t="shared" si="135"/>
        <v>0.16227905242984592</v>
      </c>
      <c r="N35" s="138">
        <f t="shared" si="135"/>
        <v>6.7145655648050653E-2</v>
      </c>
      <c r="O35" s="138">
        <f t="shared" si="135"/>
        <v>-9.0147657379011203E-2</v>
      </c>
      <c r="P35" s="138">
        <f t="shared" si="135"/>
        <v>7.2829726638749372E-3</v>
      </c>
      <c r="Q35" s="138">
        <f t="shared" si="135"/>
        <v>0.13953360910229343</v>
      </c>
      <c r="R35" s="138">
        <f t="shared" si="135"/>
        <v>0.16504424265198503</v>
      </c>
      <c r="S35" s="138">
        <f t="shared" si="135"/>
        <v>0.17121722566262848</v>
      </c>
      <c r="T35" s="138">
        <f t="shared" si="135"/>
        <v>8.933063307573845E-2</v>
      </c>
      <c r="U35" s="138">
        <f t="shared" si="135"/>
        <v>0.16779812231855962</v>
      </c>
      <c r="W35" s="16" t="s">
        <v>32</v>
      </c>
      <c r="X35" s="138">
        <f>X34/X5</f>
        <v>0.13089138226585634</v>
      </c>
      <c r="Y35" s="138">
        <f t="shared" ref="Y35:AI35" si="136">Y34/Y5</f>
        <v>0.15607164988573102</v>
      </c>
      <c r="Z35" s="138">
        <f t="shared" si="136"/>
        <v>0.14194044388248114</v>
      </c>
      <c r="AA35" s="138">
        <f t="shared" si="136"/>
        <v>0.24862820454938789</v>
      </c>
      <c r="AB35" s="138">
        <f t="shared" si="136"/>
        <v>0.17524284213848032</v>
      </c>
      <c r="AC35" s="138">
        <f t="shared" si="136"/>
        <v>2.3010652554493607E-2</v>
      </c>
      <c r="AD35" s="138">
        <f t="shared" si="136"/>
        <v>6.932565132239682E-2</v>
      </c>
      <c r="AE35" s="138">
        <f t="shared" si="136"/>
        <v>0.18355672920370275</v>
      </c>
      <c r="AF35" s="138">
        <f t="shared" si="136"/>
        <v>0.18401385427045017</v>
      </c>
      <c r="AG35" s="138">
        <f t="shared" si="136"/>
        <v>0.16799169470723724</v>
      </c>
      <c r="AH35" s="138">
        <f t="shared" si="136"/>
        <v>5.8647056995462764E-2</v>
      </c>
      <c r="AI35" s="138">
        <f t="shared" si="136"/>
        <v>0.14279485266021968</v>
      </c>
      <c r="AK35" s="16" t="s">
        <v>32</v>
      </c>
      <c r="AL35" s="138">
        <f>AL34/AL5</f>
        <v>0.13089138226585634</v>
      </c>
      <c r="AM35" s="138">
        <f t="shared" ref="AM35:AW35" si="137">AM34/AM5</f>
        <v>0.15607164988573102</v>
      </c>
      <c r="AN35" s="138">
        <f t="shared" si="137"/>
        <v>0.14194044388248114</v>
      </c>
      <c r="AO35" s="138">
        <f t="shared" si="137"/>
        <v>0.24862820454938789</v>
      </c>
      <c r="AP35" s="138">
        <f t="shared" si="137"/>
        <v>0.17524284213848032</v>
      </c>
      <c r="AQ35" s="138">
        <f t="shared" si="137"/>
        <v>2.3010652554493607E-2</v>
      </c>
      <c r="AR35" s="138">
        <f t="shared" si="137"/>
        <v>6.932565132239682E-2</v>
      </c>
      <c r="AS35" s="138">
        <f t="shared" si="137"/>
        <v>0.18355672920370275</v>
      </c>
      <c r="AT35" s="138">
        <f t="shared" si="137"/>
        <v>0.18401385427045017</v>
      </c>
      <c r="AU35" s="138">
        <f t="shared" si="137"/>
        <v>0.16799169470723724</v>
      </c>
      <c r="AV35" s="138">
        <f t="shared" si="137"/>
        <v>5.8647056995462764E-2</v>
      </c>
      <c r="AW35" s="138">
        <f t="shared" si="137"/>
        <v>0.14279485266021968</v>
      </c>
    </row>
    <row r="37" spans="2:49" ht="15.6" x14ac:dyDescent="0.3">
      <c r="B37" s="74" t="s">
        <v>124</v>
      </c>
      <c r="C37" s="117">
        <v>520000</v>
      </c>
      <c r="G37" t="s">
        <v>42</v>
      </c>
      <c r="J37" s="118">
        <v>0</v>
      </c>
      <c r="K37" s="118">
        <v>0</v>
      </c>
      <c r="L37" s="118">
        <v>0</v>
      </c>
      <c r="M37" s="118">
        <v>0</v>
      </c>
      <c r="N37" s="118">
        <v>0</v>
      </c>
      <c r="O37" s="118">
        <v>0</v>
      </c>
      <c r="P37" s="118">
        <v>0</v>
      </c>
      <c r="Q37" s="118">
        <v>0</v>
      </c>
      <c r="R37" s="118">
        <v>0</v>
      </c>
      <c r="S37" s="118">
        <v>0</v>
      </c>
      <c r="T37" s="118">
        <v>0</v>
      </c>
      <c r="U37" s="118">
        <v>0</v>
      </c>
      <c r="X37" s="118">
        <v>0</v>
      </c>
      <c r="Y37" s="118">
        <v>0</v>
      </c>
      <c r="Z37" s="118">
        <v>0</v>
      </c>
      <c r="AA37" s="118">
        <v>0</v>
      </c>
      <c r="AB37" s="118">
        <v>0</v>
      </c>
      <c r="AC37" s="118">
        <v>0</v>
      </c>
      <c r="AD37" s="118">
        <v>0</v>
      </c>
      <c r="AE37" s="118">
        <v>0</v>
      </c>
      <c r="AF37" s="118">
        <v>0</v>
      </c>
      <c r="AG37" s="118">
        <v>0</v>
      </c>
      <c r="AH37" s="118">
        <v>0</v>
      </c>
      <c r="AI37" s="118">
        <v>0</v>
      </c>
      <c r="AL37" s="118">
        <v>0</v>
      </c>
      <c r="AM37" s="118">
        <v>0</v>
      </c>
      <c r="AN37" s="118">
        <v>0</v>
      </c>
      <c r="AO37" s="118">
        <v>0</v>
      </c>
      <c r="AP37" s="118">
        <v>0</v>
      </c>
      <c r="AQ37" s="118">
        <v>0</v>
      </c>
      <c r="AR37" s="118">
        <v>0</v>
      </c>
      <c r="AS37" s="118">
        <v>0</v>
      </c>
      <c r="AT37" s="118">
        <v>0</v>
      </c>
      <c r="AU37" s="118">
        <v>0</v>
      </c>
      <c r="AV37" s="118">
        <v>0</v>
      </c>
      <c r="AW37" s="118">
        <v>0</v>
      </c>
    </row>
    <row r="38" spans="2:49" ht="15.6" x14ac:dyDescent="0.3">
      <c r="B38" s="74" t="s">
        <v>125</v>
      </c>
      <c r="C38" s="139">
        <v>30000</v>
      </c>
    </row>
    <row r="39" spans="2:49" ht="15.6" x14ac:dyDescent="0.3">
      <c r="B39" s="73" t="s">
        <v>126</v>
      </c>
      <c r="C39" s="140">
        <f>SUM(C37:C38)</f>
        <v>550000</v>
      </c>
      <c r="F39" s="12" t="s">
        <v>44</v>
      </c>
      <c r="G39" s="13"/>
      <c r="H39" s="14" t="s">
        <v>31</v>
      </c>
      <c r="I39" s="14"/>
      <c r="J39" s="137">
        <f>J34-J37</f>
        <v>0</v>
      </c>
      <c r="K39" s="137">
        <f t="shared" ref="K39:U39" si="138">K34-K37</f>
        <v>5331910.6666666567</v>
      </c>
      <c r="L39" s="137">
        <f t="shared" si="138"/>
        <v>2238358.6666666716</v>
      </c>
      <c r="M39" s="137">
        <f>M34-M37</f>
        <v>37381758.666666672</v>
      </c>
      <c r="N39" s="137">
        <f>N34-N37</f>
        <v>12355458.666666672</v>
      </c>
      <c r="O39" s="137">
        <f t="shared" si="138"/>
        <v>-11703550.333333328</v>
      </c>
      <c r="P39" s="137">
        <f t="shared" si="138"/>
        <v>1118452.6666666716</v>
      </c>
      <c r="Q39" s="137">
        <f t="shared" si="138"/>
        <v>30316641.666666672</v>
      </c>
      <c r="R39" s="137">
        <f t="shared" si="138"/>
        <v>38299110.666666672</v>
      </c>
      <c r="S39" s="137">
        <f t="shared" si="138"/>
        <v>40396632.666666672</v>
      </c>
      <c r="T39" s="137">
        <f t="shared" si="138"/>
        <v>17246886.666666672</v>
      </c>
      <c r="U39" s="137">
        <f t="shared" si="138"/>
        <v>43621806.666666672</v>
      </c>
      <c r="W39" s="14" t="s">
        <v>31</v>
      </c>
      <c r="X39" s="137">
        <f>X34-X37</f>
        <v>33037246.666666672</v>
      </c>
      <c r="Y39" s="137">
        <f t="shared" ref="Y39:AI39" si="139">Y34-Y37</f>
        <v>41976406.666666672</v>
      </c>
      <c r="Z39" s="137">
        <f t="shared" si="139"/>
        <v>36820486.666666672</v>
      </c>
      <c r="AA39" s="137">
        <f t="shared" si="139"/>
        <v>88111846.666666672</v>
      </c>
      <c r="AB39" s="137">
        <f t="shared" si="139"/>
        <v>49609846.666666672</v>
      </c>
      <c r="AC39" s="137">
        <f t="shared" si="139"/>
        <v>4595986.6666666716</v>
      </c>
      <c r="AD39" s="137">
        <f t="shared" si="139"/>
        <v>15209146.666666672</v>
      </c>
      <c r="AE39" s="137">
        <f t="shared" si="139"/>
        <v>53175466.666666672</v>
      </c>
      <c r="AF39" s="137">
        <f t="shared" si="139"/>
        <v>53376346.666666672</v>
      </c>
      <c r="AG39" s="137">
        <f t="shared" si="139"/>
        <v>46630126.666666672</v>
      </c>
      <c r="AH39" s="137">
        <f t="shared" si="139"/>
        <v>12580966.666666672</v>
      </c>
      <c r="AI39" s="137">
        <f t="shared" si="139"/>
        <v>37121806.666666672</v>
      </c>
      <c r="AK39" s="14" t="s">
        <v>31</v>
      </c>
      <c r="AL39" s="137">
        <f>AL34-AL37</f>
        <v>33037246.666666672</v>
      </c>
      <c r="AM39" s="137">
        <f t="shared" ref="AM39:AW39" si="140">AM34-AM37</f>
        <v>41976406.666666672</v>
      </c>
      <c r="AN39" s="137">
        <f t="shared" si="140"/>
        <v>36820486.666666672</v>
      </c>
      <c r="AO39" s="137">
        <f t="shared" si="140"/>
        <v>88111846.666666672</v>
      </c>
      <c r="AP39" s="137">
        <f t="shared" si="140"/>
        <v>49609846.666666672</v>
      </c>
      <c r="AQ39" s="137">
        <f t="shared" si="140"/>
        <v>4595986.6666666716</v>
      </c>
      <c r="AR39" s="137">
        <f t="shared" si="140"/>
        <v>15209146.666666672</v>
      </c>
      <c r="AS39" s="137">
        <f t="shared" si="140"/>
        <v>53175466.666666672</v>
      </c>
      <c r="AT39" s="137">
        <f t="shared" si="140"/>
        <v>53376346.666666672</v>
      </c>
      <c r="AU39" s="137">
        <f t="shared" si="140"/>
        <v>46630126.666666672</v>
      </c>
      <c r="AV39" s="137">
        <f t="shared" si="140"/>
        <v>12580966.666666672</v>
      </c>
      <c r="AW39" s="137">
        <f t="shared" si="140"/>
        <v>37121806.666666672</v>
      </c>
    </row>
    <row r="40" spans="2:49" x14ac:dyDescent="0.3">
      <c r="F40" s="15"/>
      <c r="G40" s="15"/>
      <c r="H40" s="16" t="s">
        <v>32</v>
      </c>
      <c r="I40" s="16"/>
      <c r="J40" s="138"/>
      <c r="K40" s="138">
        <f t="shared" ref="K40:U40" si="141">K39/K5</f>
        <v>3.3040786514440139E-2</v>
      </c>
      <c r="L40" s="138">
        <f t="shared" si="141"/>
        <v>1.4381197872763315E-2</v>
      </c>
      <c r="M40" s="138">
        <f t="shared" si="141"/>
        <v>0.16227905242984592</v>
      </c>
      <c r="N40" s="138">
        <f t="shared" si="141"/>
        <v>6.7145655648050653E-2</v>
      </c>
      <c r="O40" s="138">
        <f t="shared" si="141"/>
        <v>-9.0147657379011203E-2</v>
      </c>
      <c r="P40" s="138">
        <f t="shared" si="141"/>
        <v>7.2829726638749372E-3</v>
      </c>
      <c r="Q40" s="138">
        <f t="shared" si="141"/>
        <v>0.13953360910229343</v>
      </c>
      <c r="R40" s="138">
        <f t="shared" si="141"/>
        <v>0.16504424265198503</v>
      </c>
      <c r="S40" s="138">
        <f t="shared" si="141"/>
        <v>0.17121722566262848</v>
      </c>
      <c r="T40" s="138">
        <f t="shared" si="141"/>
        <v>8.933063307573845E-2</v>
      </c>
      <c r="U40" s="138">
        <f t="shared" si="141"/>
        <v>0.16779812231855962</v>
      </c>
      <c r="W40" s="16" t="s">
        <v>32</v>
      </c>
      <c r="X40" s="138">
        <f>X39/X5</f>
        <v>0.13089138226585634</v>
      </c>
      <c r="Y40" s="138">
        <f t="shared" ref="Y40:AI40" si="142">Y39/Y5</f>
        <v>0.15607164988573102</v>
      </c>
      <c r="Z40" s="138">
        <f t="shared" si="142"/>
        <v>0.14194044388248114</v>
      </c>
      <c r="AA40" s="138">
        <f t="shared" si="142"/>
        <v>0.24862820454938789</v>
      </c>
      <c r="AB40" s="138">
        <f t="shared" si="142"/>
        <v>0.17524284213848032</v>
      </c>
      <c r="AC40" s="138">
        <f t="shared" si="142"/>
        <v>2.3010652554493607E-2</v>
      </c>
      <c r="AD40" s="138">
        <f t="shared" si="142"/>
        <v>6.932565132239682E-2</v>
      </c>
      <c r="AE40" s="138">
        <f t="shared" si="142"/>
        <v>0.18355672920370275</v>
      </c>
      <c r="AF40" s="138">
        <f t="shared" si="142"/>
        <v>0.18401385427045017</v>
      </c>
      <c r="AG40" s="138">
        <f t="shared" si="142"/>
        <v>0.16799169470723724</v>
      </c>
      <c r="AH40" s="138">
        <f t="shared" si="142"/>
        <v>5.8647056995462764E-2</v>
      </c>
      <c r="AI40" s="138">
        <f t="shared" si="142"/>
        <v>0.14279485266021968</v>
      </c>
      <c r="AK40" s="16" t="s">
        <v>32</v>
      </c>
      <c r="AL40" s="138">
        <f>AL39/AL5</f>
        <v>0.13089138226585634</v>
      </c>
      <c r="AM40" s="138">
        <f t="shared" ref="AM40:AW40" si="143">AM39/AM5</f>
        <v>0.15607164988573102</v>
      </c>
      <c r="AN40" s="138">
        <f t="shared" si="143"/>
        <v>0.14194044388248114</v>
      </c>
      <c r="AO40" s="138">
        <f t="shared" si="143"/>
        <v>0.24862820454938789</v>
      </c>
      <c r="AP40" s="138">
        <f t="shared" si="143"/>
        <v>0.17524284213848032</v>
      </c>
      <c r="AQ40" s="138">
        <f t="shared" si="143"/>
        <v>2.3010652554493607E-2</v>
      </c>
      <c r="AR40" s="138">
        <f t="shared" si="143"/>
        <v>6.932565132239682E-2</v>
      </c>
      <c r="AS40" s="138">
        <f t="shared" si="143"/>
        <v>0.18355672920370275</v>
      </c>
      <c r="AT40" s="138">
        <f t="shared" si="143"/>
        <v>0.18401385427045017</v>
      </c>
      <c r="AU40" s="138">
        <f t="shared" si="143"/>
        <v>0.16799169470723724</v>
      </c>
      <c r="AV40" s="138">
        <f t="shared" si="143"/>
        <v>5.8647056995462764E-2</v>
      </c>
      <c r="AW40" s="138">
        <f t="shared" si="143"/>
        <v>0.14279485266021968</v>
      </c>
    </row>
    <row r="41" spans="2:49" x14ac:dyDescent="0.3">
      <c r="B41" s="1" t="s">
        <v>190</v>
      </c>
      <c r="C41" s="132">
        <f>'Cash Flow'!F5</f>
        <v>0.21841242105263159</v>
      </c>
      <c r="G41" t="s">
        <v>204</v>
      </c>
      <c r="H41" t="s">
        <v>31</v>
      </c>
      <c r="J41" s="135">
        <f>J39</f>
        <v>0</v>
      </c>
      <c r="K41" s="135">
        <f>K39</f>
        <v>5331910.6666666567</v>
      </c>
      <c r="L41" s="135">
        <f t="shared" ref="L41:U41" si="144">K41+L39</f>
        <v>7570269.3333333284</v>
      </c>
      <c r="M41" s="135">
        <f t="shared" si="144"/>
        <v>44952028</v>
      </c>
      <c r="N41" s="135">
        <f t="shared" si="144"/>
        <v>57307486.666666672</v>
      </c>
      <c r="O41" s="135">
        <f t="shared" si="144"/>
        <v>45603936.333333343</v>
      </c>
      <c r="P41" s="135">
        <f t="shared" si="144"/>
        <v>46722389.000000015</v>
      </c>
      <c r="Q41" s="135">
        <f t="shared" si="144"/>
        <v>77039030.666666687</v>
      </c>
      <c r="R41" s="135">
        <f t="shared" si="144"/>
        <v>115338141.33333336</v>
      </c>
      <c r="S41" s="135">
        <f t="shared" si="144"/>
        <v>155734774.00000003</v>
      </c>
      <c r="T41" s="135">
        <f t="shared" si="144"/>
        <v>172981660.66666669</v>
      </c>
      <c r="U41" s="135">
        <f t="shared" si="144"/>
        <v>216603467.33333337</v>
      </c>
      <c r="X41" s="135">
        <f>X39</f>
        <v>33037246.666666672</v>
      </c>
      <c r="Y41" s="135">
        <f t="shared" ref="Y41:AI41" si="145">X41+Y39</f>
        <v>75013653.333333343</v>
      </c>
      <c r="Z41" s="135">
        <f t="shared" si="145"/>
        <v>111834140.00000001</v>
      </c>
      <c r="AA41" s="135">
        <f t="shared" si="145"/>
        <v>199945986.66666669</v>
      </c>
      <c r="AB41" s="135">
        <f t="shared" si="145"/>
        <v>249555833.33333337</v>
      </c>
      <c r="AC41" s="135">
        <f t="shared" si="145"/>
        <v>254151820.00000006</v>
      </c>
      <c r="AD41" s="135">
        <f t="shared" si="145"/>
        <v>269360966.66666675</v>
      </c>
      <c r="AE41" s="135">
        <f t="shared" si="145"/>
        <v>322536433.33333343</v>
      </c>
      <c r="AF41" s="135">
        <f t="shared" si="145"/>
        <v>375912780.00000012</v>
      </c>
      <c r="AG41" s="135">
        <f t="shared" si="145"/>
        <v>422542906.66666681</v>
      </c>
      <c r="AH41" s="135">
        <f t="shared" si="145"/>
        <v>435123873.33333349</v>
      </c>
      <c r="AI41" s="135">
        <f t="shared" si="145"/>
        <v>472245680.00000018</v>
      </c>
      <c r="AL41" s="135">
        <f>AL39</f>
        <v>33037246.666666672</v>
      </c>
      <c r="AM41" s="135">
        <f t="shared" ref="AM41:AW41" si="146">AL41+AM39</f>
        <v>75013653.333333343</v>
      </c>
      <c r="AN41" s="135">
        <f t="shared" si="146"/>
        <v>111834140.00000001</v>
      </c>
      <c r="AO41" s="135">
        <f t="shared" si="146"/>
        <v>199945986.66666669</v>
      </c>
      <c r="AP41" s="135">
        <f t="shared" si="146"/>
        <v>249555833.33333337</v>
      </c>
      <c r="AQ41" s="135">
        <f t="shared" si="146"/>
        <v>254151820.00000006</v>
      </c>
      <c r="AR41" s="135">
        <f t="shared" si="146"/>
        <v>269360966.66666675</v>
      </c>
      <c r="AS41" s="135">
        <f t="shared" si="146"/>
        <v>322536433.33333343</v>
      </c>
      <c r="AT41" s="135">
        <f t="shared" si="146"/>
        <v>375912780.00000012</v>
      </c>
      <c r="AU41" s="135">
        <f t="shared" si="146"/>
        <v>422542906.66666681</v>
      </c>
      <c r="AV41" s="135">
        <f t="shared" si="146"/>
        <v>435123873.33333349</v>
      </c>
      <c r="AW41" s="135">
        <f t="shared" si="146"/>
        <v>472245680.00000018</v>
      </c>
    </row>
    <row r="42" spans="2:49" x14ac:dyDescent="0.3">
      <c r="G42" t="s">
        <v>45</v>
      </c>
      <c r="J42" s="135">
        <f>MAX(0,J41)*$C$30</f>
        <v>0</v>
      </c>
      <c r="K42" s="135">
        <f>MAX(0,K41)*$C$30</f>
        <v>266595.53333333286</v>
      </c>
      <c r="L42" s="135">
        <f t="shared" ref="L42:U42" si="147">MAX(0,L41)*$C$30-MAX(0,K41)*$C$30</f>
        <v>111917.93333333358</v>
      </c>
      <c r="M42" s="135">
        <f t="shared" si="147"/>
        <v>1869087.9333333336</v>
      </c>
      <c r="N42" s="135">
        <f t="shared" si="147"/>
        <v>617772.93333333405</v>
      </c>
      <c r="O42" s="135">
        <f t="shared" si="147"/>
        <v>-585177.5166666666</v>
      </c>
      <c r="P42" s="135">
        <f t="shared" si="147"/>
        <v>55922.633333333302</v>
      </c>
      <c r="Q42" s="135">
        <f t="shared" si="147"/>
        <v>1515832.083333334</v>
      </c>
      <c r="R42" s="135">
        <f t="shared" si="147"/>
        <v>1914955.5333333337</v>
      </c>
      <c r="S42" s="135">
        <f t="shared" si="147"/>
        <v>2019831.6333333338</v>
      </c>
      <c r="T42" s="135">
        <f t="shared" si="147"/>
        <v>862344.33333333302</v>
      </c>
      <c r="U42" s="135">
        <f t="shared" si="147"/>
        <v>2181090.333333334</v>
      </c>
      <c r="X42" s="135">
        <f>MAX(0,X41)*$C$30</f>
        <v>1651862.3333333337</v>
      </c>
      <c r="Y42" s="135">
        <f t="shared" ref="Y42:AI42" si="148">MAX(0,Y41)*$C$30-MAX(0,X41)*$C$30</f>
        <v>2098820.333333334</v>
      </c>
      <c r="Z42" s="135">
        <f t="shared" si="148"/>
        <v>1841024.3333333335</v>
      </c>
      <c r="AA42" s="135">
        <f t="shared" si="148"/>
        <v>4405592.333333333</v>
      </c>
      <c r="AB42" s="135">
        <f t="shared" si="148"/>
        <v>2480492.3333333358</v>
      </c>
      <c r="AC42" s="135">
        <f t="shared" si="148"/>
        <v>229799.33333333395</v>
      </c>
      <c r="AD42" s="135">
        <f t="shared" si="148"/>
        <v>760457.33333333395</v>
      </c>
      <c r="AE42" s="135">
        <f t="shared" si="148"/>
        <v>2658773.333333334</v>
      </c>
      <c r="AF42" s="135">
        <f t="shared" si="148"/>
        <v>2668817.3333333358</v>
      </c>
      <c r="AG42" s="135">
        <f t="shared" si="148"/>
        <v>2331506.3333333358</v>
      </c>
      <c r="AH42" s="135">
        <f t="shared" si="148"/>
        <v>629048.33333333209</v>
      </c>
      <c r="AI42" s="135">
        <f t="shared" si="148"/>
        <v>1856090.3333333358</v>
      </c>
      <c r="AL42" s="135">
        <f>MAX(0,AL41)*$C$30</f>
        <v>1651862.3333333337</v>
      </c>
      <c r="AM42" s="135">
        <f t="shared" ref="AM42:AW42" si="149">MAX(0,AM41)*$C$30-MAX(0,AL41)*$C$30</f>
        <v>2098820.333333334</v>
      </c>
      <c r="AN42" s="135">
        <f t="shared" si="149"/>
        <v>1841024.3333333335</v>
      </c>
      <c r="AO42" s="135">
        <f t="shared" si="149"/>
        <v>4405592.333333333</v>
      </c>
      <c r="AP42" s="135">
        <f t="shared" si="149"/>
        <v>2480492.3333333358</v>
      </c>
      <c r="AQ42" s="135">
        <f t="shared" si="149"/>
        <v>229799.33333333395</v>
      </c>
      <c r="AR42" s="135">
        <f t="shared" si="149"/>
        <v>760457.33333333395</v>
      </c>
      <c r="AS42" s="135">
        <f t="shared" si="149"/>
        <v>2658773.333333334</v>
      </c>
      <c r="AT42" s="135">
        <f t="shared" si="149"/>
        <v>2668817.3333333358</v>
      </c>
      <c r="AU42" s="135">
        <f t="shared" si="149"/>
        <v>2331506.3333333358</v>
      </c>
      <c r="AV42" s="135">
        <f t="shared" si="149"/>
        <v>629048.33333333209</v>
      </c>
      <c r="AW42" s="135">
        <f t="shared" si="149"/>
        <v>1856090.3333333358</v>
      </c>
    </row>
    <row r="43" spans="2:49" ht="18" x14ac:dyDescent="0.35">
      <c r="B43" s="86" t="s">
        <v>135</v>
      </c>
      <c r="C43" s="70">
        <f>_xlfn.XLOOKUP("PAYBACK",I98:AW98,I95:AW95,"+ de 36 meses")</f>
        <v>28</v>
      </c>
    </row>
    <row r="44" spans="2:49" x14ac:dyDescent="0.3">
      <c r="B44" s="107" t="s">
        <v>192</v>
      </c>
      <c r="F44" s="12" t="s">
        <v>46</v>
      </c>
      <c r="G44" s="13"/>
      <c r="H44" s="14" t="s">
        <v>31</v>
      </c>
      <c r="I44" s="14"/>
      <c r="J44" s="137">
        <f>J39-J42</f>
        <v>0</v>
      </c>
      <c r="K44" s="137">
        <f t="shared" ref="K44:U44" si="150">K39-K42</f>
        <v>5065315.1333333235</v>
      </c>
      <c r="L44" s="137">
        <f t="shared" si="150"/>
        <v>2126440.7333333381</v>
      </c>
      <c r="M44" s="137">
        <f t="shared" si="150"/>
        <v>35512670.733333334</v>
      </c>
      <c r="N44" s="137">
        <f t="shared" si="150"/>
        <v>11737685.733333338</v>
      </c>
      <c r="O44" s="137">
        <f t="shared" si="150"/>
        <v>-11118372.816666663</v>
      </c>
      <c r="P44" s="137">
        <f t="shared" si="150"/>
        <v>1062530.0333333383</v>
      </c>
      <c r="Q44" s="137">
        <f t="shared" si="150"/>
        <v>28800809.583333336</v>
      </c>
      <c r="R44" s="137">
        <f t="shared" si="150"/>
        <v>36384155.13333334</v>
      </c>
      <c r="S44" s="137">
        <f t="shared" si="150"/>
        <v>38376801.033333339</v>
      </c>
      <c r="T44" s="137">
        <f t="shared" si="150"/>
        <v>16384542.33333334</v>
      </c>
      <c r="U44" s="137">
        <f t="shared" si="150"/>
        <v>41440716.333333336</v>
      </c>
      <c r="W44" s="14" t="s">
        <v>31</v>
      </c>
      <c r="X44" s="137">
        <f>X39-X42</f>
        <v>31385384.33333334</v>
      </c>
      <c r="Y44" s="137">
        <f t="shared" ref="Y44:AI44" si="151">Y39-Y42</f>
        <v>39877586.333333336</v>
      </c>
      <c r="Z44" s="137">
        <f t="shared" si="151"/>
        <v>34979462.333333336</v>
      </c>
      <c r="AA44" s="137">
        <f t="shared" si="151"/>
        <v>83706254.333333343</v>
      </c>
      <c r="AB44" s="137">
        <f t="shared" si="151"/>
        <v>47129354.333333336</v>
      </c>
      <c r="AC44" s="137">
        <f t="shared" si="151"/>
        <v>4366187.3333333377</v>
      </c>
      <c r="AD44" s="137">
        <f t="shared" si="151"/>
        <v>14448689.333333338</v>
      </c>
      <c r="AE44" s="137">
        <f t="shared" si="151"/>
        <v>50516693.333333336</v>
      </c>
      <c r="AF44" s="137">
        <f t="shared" si="151"/>
        <v>50707529.333333336</v>
      </c>
      <c r="AG44" s="137">
        <f t="shared" si="151"/>
        <v>44298620.333333336</v>
      </c>
      <c r="AH44" s="137">
        <f t="shared" si="151"/>
        <v>11951918.33333334</v>
      </c>
      <c r="AI44" s="137">
        <f t="shared" si="151"/>
        <v>35265716.333333336</v>
      </c>
      <c r="AK44" s="14" t="s">
        <v>31</v>
      </c>
      <c r="AL44" s="137">
        <f>AL39-AL42</f>
        <v>31385384.33333334</v>
      </c>
      <c r="AM44" s="137">
        <f t="shared" ref="AM44:AW44" si="152">AM39-AM42</f>
        <v>39877586.333333336</v>
      </c>
      <c r="AN44" s="137">
        <f t="shared" si="152"/>
        <v>34979462.333333336</v>
      </c>
      <c r="AO44" s="137">
        <f t="shared" si="152"/>
        <v>83706254.333333343</v>
      </c>
      <c r="AP44" s="137">
        <f t="shared" si="152"/>
        <v>47129354.333333336</v>
      </c>
      <c r="AQ44" s="137">
        <f t="shared" si="152"/>
        <v>4366187.3333333377</v>
      </c>
      <c r="AR44" s="137">
        <f t="shared" si="152"/>
        <v>14448689.333333338</v>
      </c>
      <c r="AS44" s="137">
        <f t="shared" si="152"/>
        <v>50516693.333333336</v>
      </c>
      <c r="AT44" s="137">
        <f t="shared" si="152"/>
        <v>50707529.333333336</v>
      </c>
      <c r="AU44" s="137">
        <f t="shared" si="152"/>
        <v>44298620.333333336</v>
      </c>
      <c r="AV44" s="137">
        <f t="shared" si="152"/>
        <v>11951918.33333334</v>
      </c>
      <c r="AW44" s="137">
        <f t="shared" si="152"/>
        <v>35265716.333333336</v>
      </c>
    </row>
    <row r="45" spans="2:49" x14ac:dyDescent="0.3">
      <c r="B45" s="108" t="s">
        <v>37</v>
      </c>
      <c r="C45" s="119">
        <v>15000000</v>
      </c>
      <c r="F45" s="15"/>
      <c r="G45" s="15"/>
      <c r="H45" s="16" t="s">
        <v>32</v>
      </c>
      <c r="I45" s="16"/>
      <c r="J45" s="138"/>
      <c r="K45" s="138">
        <f t="shared" ref="K45:U45" si="153">K44/K5</f>
        <v>3.1388747188718133E-2</v>
      </c>
      <c r="L45" s="138">
        <f t="shared" si="153"/>
        <v>1.3662137979125149E-2</v>
      </c>
      <c r="M45" s="138">
        <f t="shared" si="153"/>
        <v>0.15416509980835361</v>
      </c>
      <c r="N45" s="138">
        <f t="shared" si="153"/>
        <v>6.3788372865648119E-2</v>
      </c>
      <c r="O45" s="138">
        <f t="shared" si="153"/>
        <v>-8.5640274510060649E-2</v>
      </c>
      <c r="P45" s="138">
        <f t="shared" si="153"/>
        <v>6.9188240306811925E-3</v>
      </c>
      <c r="Q45" s="138">
        <f t="shared" si="153"/>
        <v>0.13255692864717875</v>
      </c>
      <c r="R45" s="138">
        <f t="shared" si="153"/>
        <v>0.15679203051938578</v>
      </c>
      <c r="S45" s="138">
        <f t="shared" si="153"/>
        <v>0.16265636437949707</v>
      </c>
      <c r="T45" s="138">
        <f t="shared" si="153"/>
        <v>8.486410142195154E-2</v>
      </c>
      <c r="U45" s="138">
        <f t="shared" si="153"/>
        <v>0.15940821620263163</v>
      </c>
      <c r="W45" s="16" t="s">
        <v>32</v>
      </c>
      <c r="X45" s="138">
        <f>X44/X5</f>
        <v>0.12434681315256353</v>
      </c>
      <c r="Y45" s="138">
        <f t="shared" ref="Y45:AI45" si="154">Y44/Y5</f>
        <v>0.14826806739144446</v>
      </c>
      <c r="Z45" s="138">
        <f t="shared" si="154"/>
        <v>0.13484342168835708</v>
      </c>
      <c r="AA45" s="138">
        <f t="shared" si="154"/>
        <v>0.23619679432191851</v>
      </c>
      <c r="AB45" s="138">
        <f t="shared" si="154"/>
        <v>0.16648070003155629</v>
      </c>
      <c r="AC45" s="138">
        <f t="shared" si="154"/>
        <v>2.1860119926768926E-2</v>
      </c>
      <c r="AD45" s="138">
        <f t="shared" si="154"/>
        <v>6.5859368756276973E-2</v>
      </c>
      <c r="AE45" s="138">
        <f t="shared" si="154"/>
        <v>0.17437889274351762</v>
      </c>
      <c r="AF45" s="138">
        <f t="shared" si="154"/>
        <v>0.17481316155692767</v>
      </c>
      <c r="AG45" s="138">
        <f t="shared" si="154"/>
        <v>0.15959210997187537</v>
      </c>
      <c r="AH45" s="138">
        <f t="shared" si="154"/>
        <v>5.5714704145689631E-2</v>
      </c>
      <c r="AI45" s="138">
        <f t="shared" si="154"/>
        <v>0.1356551100272087</v>
      </c>
      <c r="AK45" s="16" t="s">
        <v>32</v>
      </c>
      <c r="AL45" s="138">
        <f>AL44/AL5</f>
        <v>0.12434681315256353</v>
      </c>
      <c r="AM45" s="138">
        <f t="shared" ref="AM45:AW45" si="155">AM44/AM5</f>
        <v>0.14826806739144446</v>
      </c>
      <c r="AN45" s="138">
        <f t="shared" si="155"/>
        <v>0.13484342168835708</v>
      </c>
      <c r="AO45" s="138">
        <f t="shared" si="155"/>
        <v>0.23619679432191851</v>
      </c>
      <c r="AP45" s="138">
        <f t="shared" si="155"/>
        <v>0.16648070003155629</v>
      </c>
      <c r="AQ45" s="138">
        <f t="shared" si="155"/>
        <v>2.1860119926768926E-2</v>
      </c>
      <c r="AR45" s="138">
        <f t="shared" si="155"/>
        <v>6.5859368756276973E-2</v>
      </c>
      <c r="AS45" s="138">
        <f t="shared" si="155"/>
        <v>0.17437889274351762</v>
      </c>
      <c r="AT45" s="138">
        <f t="shared" si="155"/>
        <v>0.17481316155692767</v>
      </c>
      <c r="AU45" s="138">
        <f t="shared" si="155"/>
        <v>0.15959210997187537</v>
      </c>
      <c r="AV45" s="138">
        <f t="shared" si="155"/>
        <v>5.5714704145689631E-2</v>
      </c>
      <c r="AW45" s="138">
        <f t="shared" si="155"/>
        <v>0.1356551100272087</v>
      </c>
    </row>
    <row r="46" spans="2:49" x14ac:dyDescent="0.3">
      <c r="B46" s="108" t="s">
        <v>193</v>
      </c>
      <c r="C46" s="119">
        <v>6800000</v>
      </c>
    </row>
    <row r="47" spans="2:49" x14ac:dyDescent="0.3">
      <c r="B47" s="108" t="s">
        <v>40</v>
      </c>
      <c r="C47" s="119">
        <v>3000000</v>
      </c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</row>
    <row r="48" spans="2:49" x14ac:dyDescent="0.3">
      <c r="B48" s="108" t="s">
        <v>286</v>
      </c>
      <c r="C48" s="119">
        <v>3886000</v>
      </c>
    </row>
    <row r="49" spans="2:49" x14ac:dyDescent="0.3">
      <c r="G49" t="s">
        <v>287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X49">
        <v>1</v>
      </c>
      <c r="Y49">
        <v>1</v>
      </c>
      <c r="Z49">
        <v>1</v>
      </c>
      <c r="AA49">
        <v>1</v>
      </c>
      <c r="AB49">
        <v>1</v>
      </c>
      <c r="AC49">
        <v>1</v>
      </c>
      <c r="AD49">
        <v>1</v>
      </c>
      <c r="AE49">
        <v>1</v>
      </c>
      <c r="AF49">
        <v>1</v>
      </c>
      <c r="AG49">
        <v>1</v>
      </c>
      <c r="AH49">
        <v>1</v>
      </c>
      <c r="AI49">
        <v>1</v>
      </c>
      <c r="AL49">
        <v>1</v>
      </c>
      <c r="AM49">
        <v>1</v>
      </c>
      <c r="AN49">
        <v>1</v>
      </c>
      <c r="AO49">
        <v>1</v>
      </c>
      <c r="AP49">
        <v>1</v>
      </c>
      <c r="AQ49">
        <v>1</v>
      </c>
      <c r="AR49">
        <v>1</v>
      </c>
      <c r="AS49">
        <v>1</v>
      </c>
      <c r="AT49">
        <v>1</v>
      </c>
      <c r="AU49">
        <v>1</v>
      </c>
      <c r="AV49">
        <v>1</v>
      </c>
      <c r="AW49">
        <v>1</v>
      </c>
    </row>
    <row r="50" spans="2:49" x14ac:dyDescent="0.3">
      <c r="B50" s="181" t="s">
        <v>194</v>
      </c>
      <c r="G50" t="s">
        <v>47</v>
      </c>
      <c r="J50" s="135">
        <f t="shared" ref="J50" si="156">J5*$C$32</f>
        <v>0</v>
      </c>
      <c r="K50" s="135">
        <f t="shared" ref="K50:U50" si="157">IF(K49=1,K5*$C$32,0)</f>
        <v>0</v>
      </c>
      <c r="L50" s="135">
        <f t="shared" si="157"/>
        <v>0</v>
      </c>
      <c r="M50" s="135">
        <f t="shared" si="157"/>
        <v>0</v>
      </c>
      <c r="N50" s="135">
        <f t="shared" si="157"/>
        <v>0</v>
      </c>
      <c r="O50" s="135">
        <f t="shared" si="157"/>
        <v>0</v>
      </c>
      <c r="P50" s="135">
        <f t="shared" si="157"/>
        <v>0</v>
      </c>
      <c r="Q50" s="135">
        <f t="shared" si="157"/>
        <v>0</v>
      </c>
      <c r="R50" s="135">
        <f t="shared" si="157"/>
        <v>0</v>
      </c>
      <c r="S50" s="135">
        <f t="shared" si="157"/>
        <v>0</v>
      </c>
      <c r="T50" s="135">
        <f t="shared" si="157"/>
        <v>0</v>
      </c>
      <c r="U50" s="135">
        <f t="shared" si="157"/>
        <v>0</v>
      </c>
      <c r="W50" s="11"/>
      <c r="X50" s="135">
        <f>IF(X49=1,X5*$C$32,0)</f>
        <v>3786030</v>
      </c>
      <c r="Y50" s="135">
        <f t="shared" ref="Y50:AI50" si="158">IF(Y49=1,Y5*$C$32,0)</f>
        <v>4034340</v>
      </c>
      <c r="Z50" s="135">
        <f t="shared" si="158"/>
        <v>3891120</v>
      </c>
      <c r="AA50" s="135">
        <f t="shared" si="158"/>
        <v>5315880</v>
      </c>
      <c r="AB50" s="135">
        <f t="shared" si="158"/>
        <v>4246380</v>
      </c>
      <c r="AC50" s="135">
        <f t="shared" si="158"/>
        <v>2995995</v>
      </c>
      <c r="AD50" s="135">
        <f t="shared" si="158"/>
        <v>3290805</v>
      </c>
      <c r="AE50" s="135">
        <f t="shared" si="158"/>
        <v>4345425</v>
      </c>
      <c r="AF50" s="135">
        <f t="shared" si="158"/>
        <v>4351005</v>
      </c>
      <c r="AG50" s="135">
        <f t="shared" si="158"/>
        <v>4163610</v>
      </c>
      <c r="AH50" s="135">
        <f t="shared" si="158"/>
        <v>3217800</v>
      </c>
      <c r="AI50" s="135">
        <f t="shared" si="158"/>
        <v>3899490</v>
      </c>
      <c r="AK50" s="11"/>
      <c r="AL50" s="135">
        <f t="shared" ref="AL50" si="159">IF(AL49=1,AL5*$C$32,0)</f>
        <v>3786030</v>
      </c>
      <c r="AM50" s="135">
        <f t="shared" ref="AM50" si="160">IF(AM49=1,AM5*$C$32,0)</f>
        <v>4034340</v>
      </c>
      <c r="AN50" s="135">
        <f t="shared" ref="AN50" si="161">IF(AN49=1,AN5*$C$32,0)</f>
        <v>3891120</v>
      </c>
      <c r="AO50" s="135">
        <f t="shared" ref="AO50" si="162">IF(AO49=1,AO5*$C$32,0)</f>
        <v>5315880</v>
      </c>
      <c r="AP50" s="135">
        <f t="shared" ref="AP50" si="163">IF(AP49=1,AP5*$C$32,0)</f>
        <v>4246380</v>
      </c>
      <c r="AQ50" s="135">
        <f t="shared" ref="AQ50" si="164">IF(AQ49=1,AQ5*$C$32,0)</f>
        <v>2995995</v>
      </c>
      <c r="AR50" s="135">
        <f t="shared" ref="AR50" si="165">IF(AR49=1,AR5*$C$32,0)</f>
        <v>3290805</v>
      </c>
      <c r="AS50" s="135">
        <f t="shared" ref="AS50" si="166">IF(AS49=1,AS5*$C$32,0)</f>
        <v>4345425</v>
      </c>
      <c r="AT50" s="135">
        <f t="shared" ref="AT50" si="167">IF(AT49=1,AT5*$C$32,0)</f>
        <v>4351005</v>
      </c>
      <c r="AU50" s="135">
        <f t="shared" ref="AU50" si="168">IF(AU49=1,AU5*$C$32,0)</f>
        <v>4163610</v>
      </c>
      <c r="AV50" s="135">
        <f t="shared" ref="AV50" si="169">IF(AV49=1,AV5*$C$32,0)</f>
        <v>3217800</v>
      </c>
      <c r="AW50" s="135">
        <f t="shared" ref="AW50" si="170">IF(AW49=1,AW5*$C$32,0)</f>
        <v>3899490</v>
      </c>
    </row>
    <row r="51" spans="2:49" x14ac:dyDescent="0.3">
      <c r="B51" s="182" t="s">
        <v>195</v>
      </c>
    </row>
    <row r="52" spans="2:49" x14ac:dyDescent="0.3">
      <c r="B52" s="181" t="s">
        <v>196</v>
      </c>
      <c r="F52" s="31" t="s">
        <v>69</v>
      </c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</row>
    <row r="53" spans="2:49" x14ac:dyDescent="0.3">
      <c r="B53" s="183" t="s">
        <v>197</v>
      </c>
      <c r="F53" s="17"/>
      <c r="G53" s="17" t="s">
        <v>70</v>
      </c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</row>
    <row r="54" spans="2:49" x14ac:dyDescent="0.3">
      <c r="B54" s="184" t="s">
        <v>198</v>
      </c>
      <c r="F54" s="17"/>
      <c r="G54" s="17" t="s">
        <v>240</v>
      </c>
      <c r="H54" s="17"/>
      <c r="I54" s="17"/>
      <c r="J54" s="136">
        <f>SUMIF($F$11:$F$33,"Inventario",J11:J33)</f>
        <v>0</v>
      </c>
      <c r="K54" s="136">
        <f t="shared" ref="K54:U54" si="171">SUMIF($F$11:$F$33,"Inventario",K11:K33)</f>
        <v>50025815.999999993</v>
      </c>
      <c r="L54" s="136">
        <f t="shared" si="171"/>
        <v>48249888</v>
      </c>
      <c r="M54" s="136">
        <f t="shared" si="171"/>
        <v>71409988</v>
      </c>
      <c r="N54" s="136">
        <f t="shared" si="171"/>
        <v>57043038</v>
      </c>
      <c r="O54" s="136">
        <f t="shared" si="171"/>
        <v>40246199.5</v>
      </c>
      <c r="P54" s="136">
        <f t="shared" si="171"/>
        <v>47606979</v>
      </c>
      <c r="Q54" s="136">
        <f t="shared" si="171"/>
        <v>67354087.5</v>
      </c>
      <c r="R54" s="136">
        <f t="shared" si="171"/>
        <v>71936616</v>
      </c>
      <c r="S54" s="136">
        <f t="shared" si="171"/>
        <v>73140749</v>
      </c>
      <c r="T54" s="136">
        <f t="shared" si="171"/>
        <v>59851080</v>
      </c>
      <c r="U54" s="136">
        <f t="shared" si="171"/>
        <v>80589460</v>
      </c>
      <c r="X54" s="136">
        <f t="shared" ref="X54:AI54" si="172">SUMIF($F$11:$F$33,"Inventario",X11:X33)</f>
        <v>78244620</v>
      </c>
      <c r="Y54" s="136">
        <f t="shared" si="172"/>
        <v>83376360</v>
      </c>
      <c r="Z54" s="136">
        <f t="shared" si="172"/>
        <v>80416480</v>
      </c>
      <c r="AA54" s="136">
        <f t="shared" si="172"/>
        <v>109861520</v>
      </c>
      <c r="AB54" s="136">
        <f t="shared" si="172"/>
        <v>87758520</v>
      </c>
      <c r="AC54" s="136">
        <f t="shared" si="172"/>
        <v>61917230</v>
      </c>
      <c r="AD54" s="136">
        <f t="shared" si="172"/>
        <v>68009970</v>
      </c>
      <c r="AE54" s="136">
        <f t="shared" si="172"/>
        <v>89805450</v>
      </c>
      <c r="AF54" s="136">
        <f t="shared" si="172"/>
        <v>89920770</v>
      </c>
      <c r="AG54" s="136">
        <f t="shared" si="172"/>
        <v>86047940</v>
      </c>
      <c r="AH54" s="136">
        <f t="shared" si="172"/>
        <v>66501200</v>
      </c>
      <c r="AI54" s="136">
        <f t="shared" si="172"/>
        <v>80589460</v>
      </c>
      <c r="AL54" s="136">
        <f t="shared" ref="AL54:AW54" si="173">SUMIF($F$11:$F$33,"Inventario",AL11:AL33)</f>
        <v>78244620</v>
      </c>
      <c r="AM54" s="136">
        <f t="shared" si="173"/>
        <v>83376360</v>
      </c>
      <c r="AN54" s="136">
        <f t="shared" si="173"/>
        <v>80416480</v>
      </c>
      <c r="AO54" s="136">
        <f t="shared" si="173"/>
        <v>109861520</v>
      </c>
      <c r="AP54" s="136">
        <f t="shared" si="173"/>
        <v>87758520</v>
      </c>
      <c r="AQ54" s="136">
        <f t="shared" si="173"/>
        <v>61917230</v>
      </c>
      <c r="AR54" s="136">
        <f t="shared" si="173"/>
        <v>68009970</v>
      </c>
      <c r="AS54" s="136">
        <f t="shared" si="173"/>
        <v>89805450</v>
      </c>
      <c r="AT54" s="136">
        <f t="shared" si="173"/>
        <v>89920770</v>
      </c>
      <c r="AU54" s="136">
        <f t="shared" si="173"/>
        <v>86047940</v>
      </c>
      <c r="AV54" s="136">
        <f t="shared" si="173"/>
        <v>66501200</v>
      </c>
      <c r="AW54" s="136">
        <f t="shared" si="173"/>
        <v>80589460</v>
      </c>
    </row>
    <row r="55" spans="2:49" x14ac:dyDescent="0.3">
      <c r="B55" s="184"/>
      <c r="F55" s="17"/>
      <c r="G55" s="17" t="s">
        <v>245</v>
      </c>
      <c r="H55" s="17"/>
      <c r="I55" s="17"/>
      <c r="J55" s="136">
        <f>SUMIF($F$11:$F$33,"Proveedores a 15",J11:J33)</f>
        <v>0</v>
      </c>
      <c r="K55" s="136">
        <f t="shared" ref="K55:U55" si="174">SUMIF($F$11:$F$33,"Proveedores a 15",K11:K33)</f>
        <v>2420603.9999999995</v>
      </c>
      <c r="L55" s="136">
        <f t="shared" si="174"/>
        <v>2334672</v>
      </c>
      <c r="M55" s="136">
        <f t="shared" si="174"/>
        <v>3455322</v>
      </c>
      <c r="N55" s="136">
        <f t="shared" si="174"/>
        <v>2760147</v>
      </c>
      <c r="O55" s="136">
        <f t="shared" si="174"/>
        <v>1947396.75</v>
      </c>
      <c r="P55" s="136">
        <f t="shared" si="174"/>
        <v>2303563.5</v>
      </c>
      <c r="Q55" s="136">
        <f t="shared" si="174"/>
        <v>3259068.75</v>
      </c>
      <c r="R55" s="136">
        <f t="shared" si="174"/>
        <v>3480804</v>
      </c>
      <c r="S55" s="136">
        <f t="shared" si="174"/>
        <v>3539068.5</v>
      </c>
      <c r="T55" s="136">
        <f t="shared" si="174"/>
        <v>2896020</v>
      </c>
      <c r="U55" s="136">
        <f t="shared" si="174"/>
        <v>3899490</v>
      </c>
      <c r="X55" s="136">
        <f t="shared" ref="X55:AI55" si="175">SUMIF($F$11:$F$33,"Proveedores a 15",X11:X33)</f>
        <v>3786030</v>
      </c>
      <c r="Y55" s="136">
        <f t="shared" si="175"/>
        <v>4034340</v>
      </c>
      <c r="Z55" s="136">
        <f t="shared" si="175"/>
        <v>3891120</v>
      </c>
      <c r="AA55" s="136">
        <f t="shared" si="175"/>
        <v>5315880</v>
      </c>
      <c r="AB55" s="136">
        <f t="shared" si="175"/>
        <v>4246380</v>
      </c>
      <c r="AC55" s="136">
        <f t="shared" si="175"/>
        <v>2995995</v>
      </c>
      <c r="AD55" s="136">
        <f t="shared" si="175"/>
        <v>3290805</v>
      </c>
      <c r="AE55" s="136">
        <f t="shared" si="175"/>
        <v>4345425</v>
      </c>
      <c r="AF55" s="136">
        <f t="shared" si="175"/>
        <v>4351005</v>
      </c>
      <c r="AG55" s="136">
        <f t="shared" si="175"/>
        <v>4163610</v>
      </c>
      <c r="AH55" s="136">
        <f t="shared" si="175"/>
        <v>3217800</v>
      </c>
      <c r="AI55" s="136">
        <f t="shared" si="175"/>
        <v>3899490</v>
      </c>
      <c r="AL55" s="136">
        <f t="shared" ref="AL55:AW55" si="176">SUMIF($F$11:$F$33,"Proveedores a 15",AL11:AL33)</f>
        <v>3786030</v>
      </c>
      <c r="AM55" s="136">
        <f t="shared" si="176"/>
        <v>4034340</v>
      </c>
      <c r="AN55" s="136">
        <f t="shared" si="176"/>
        <v>3891120</v>
      </c>
      <c r="AO55" s="136">
        <f t="shared" si="176"/>
        <v>5315880</v>
      </c>
      <c r="AP55" s="136">
        <f t="shared" si="176"/>
        <v>4246380</v>
      </c>
      <c r="AQ55" s="136">
        <f t="shared" si="176"/>
        <v>2995995</v>
      </c>
      <c r="AR55" s="136">
        <f t="shared" si="176"/>
        <v>3290805</v>
      </c>
      <c r="AS55" s="136">
        <f t="shared" si="176"/>
        <v>4345425</v>
      </c>
      <c r="AT55" s="136">
        <f t="shared" si="176"/>
        <v>4351005</v>
      </c>
      <c r="AU55" s="136">
        <f t="shared" si="176"/>
        <v>4163610</v>
      </c>
      <c r="AV55" s="136">
        <f t="shared" si="176"/>
        <v>3217800</v>
      </c>
      <c r="AW55" s="136">
        <f t="shared" si="176"/>
        <v>3899490</v>
      </c>
    </row>
    <row r="56" spans="2:49" x14ac:dyDescent="0.3">
      <c r="F56" s="17"/>
      <c r="G56" s="17" t="s">
        <v>244</v>
      </c>
      <c r="H56" s="17"/>
      <c r="I56" s="17"/>
      <c r="J56" s="136">
        <f>SUMIF($F$11:$F$33,"Proveedores a 30",J11:J33)</f>
        <v>0</v>
      </c>
      <c r="K56" s="136">
        <f t="shared" ref="K56:U56" si="177">SUMIF($F$11:$F$33,"Proveedores a 30",K11:K33)</f>
        <v>82654266</v>
      </c>
      <c r="L56" s="136">
        <f t="shared" si="177"/>
        <v>81952488</v>
      </c>
      <c r="M56" s="136">
        <f t="shared" si="177"/>
        <v>95904463</v>
      </c>
      <c r="N56" s="136">
        <f t="shared" si="177"/>
        <v>90227200.5</v>
      </c>
      <c r="O56" s="136">
        <f t="shared" si="177"/>
        <v>78789740.125</v>
      </c>
      <c r="P56" s="136">
        <f t="shared" si="177"/>
        <v>81698435.25</v>
      </c>
      <c r="Q56" s="136">
        <f t="shared" si="177"/>
        <v>94301728.125</v>
      </c>
      <c r="R56" s="136">
        <f t="shared" si="177"/>
        <v>96112566</v>
      </c>
      <c r="S56" s="136">
        <f t="shared" si="177"/>
        <v>96588392.75</v>
      </c>
      <c r="T56" s="136">
        <f t="shared" si="177"/>
        <v>91336830</v>
      </c>
      <c r="U56" s="136">
        <f t="shared" si="177"/>
        <v>108531835</v>
      </c>
      <c r="X56" s="136">
        <f t="shared" ref="X56:AI56" si="178">SUMIF($F$11:$F$33,"Proveedores a 30",X11:X33)</f>
        <v>113605245</v>
      </c>
      <c r="Y56" s="136">
        <f t="shared" si="178"/>
        <v>115633110</v>
      </c>
      <c r="Z56" s="136">
        <f t="shared" si="178"/>
        <v>114463480</v>
      </c>
      <c r="AA56" s="136">
        <f t="shared" si="178"/>
        <v>126099020</v>
      </c>
      <c r="AB56" s="136">
        <f t="shared" si="178"/>
        <v>117364770</v>
      </c>
      <c r="AC56" s="136">
        <f t="shared" si="178"/>
        <v>107153292.5</v>
      </c>
      <c r="AD56" s="136">
        <f t="shared" si="178"/>
        <v>109560907.5</v>
      </c>
      <c r="AE56" s="136">
        <f t="shared" si="178"/>
        <v>118173637.5</v>
      </c>
      <c r="AF56" s="136">
        <f t="shared" si="178"/>
        <v>118219207.5</v>
      </c>
      <c r="AG56" s="136">
        <f t="shared" si="178"/>
        <v>116688815</v>
      </c>
      <c r="AH56" s="136">
        <f t="shared" si="178"/>
        <v>108964700</v>
      </c>
      <c r="AI56" s="136">
        <f t="shared" si="178"/>
        <v>114531835</v>
      </c>
      <c r="AL56" s="136">
        <f t="shared" ref="AL56:AW56" si="179">SUMIF($F$11:$F$33,"Proveedores a 30",AL11:AL33)</f>
        <v>113605245</v>
      </c>
      <c r="AM56" s="136">
        <f t="shared" si="179"/>
        <v>115633110</v>
      </c>
      <c r="AN56" s="136">
        <f t="shared" si="179"/>
        <v>114463480</v>
      </c>
      <c r="AO56" s="136">
        <f t="shared" si="179"/>
        <v>126099020</v>
      </c>
      <c r="AP56" s="136">
        <f t="shared" si="179"/>
        <v>117364770</v>
      </c>
      <c r="AQ56" s="136">
        <f t="shared" si="179"/>
        <v>107153292.5</v>
      </c>
      <c r="AR56" s="136">
        <f t="shared" si="179"/>
        <v>109560907.5</v>
      </c>
      <c r="AS56" s="136">
        <f t="shared" si="179"/>
        <v>118173637.5</v>
      </c>
      <c r="AT56" s="136">
        <f t="shared" si="179"/>
        <v>118219207.5</v>
      </c>
      <c r="AU56" s="136">
        <f t="shared" si="179"/>
        <v>116688815</v>
      </c>
      <c r="AV56" s="136">
        <f t="shared" si="179"/>
        <v>108964700</v>
      </c>
      <c r="AW56" s="136">
        <f t="shared" si="179"/>
        <v>114531835</v>
      </c>
    </row>
    <row r="57" spans="2:49" x14ac:dyDescent="0.3">
      <c r="B57" s="185" t="s">
        <v>199</v>
      </c>
      <c r="C57" s="185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</row>
    <row r="58" spans="2:49" x14ac:dyDescent="0.3">
      <c r="B58" s="180" t="s">
        <v>200</v>
      </c>
      <c r="C58" s="186">
        <f>MIN(J83:U83)</f>
        <v>30000</v>
      </c>
      <c r="H58" s="37" t="s">
        <v>48</v>
      </c>
      <c r="I58" s="36"/>
      <c r="J58" s="120">
        <v>1420</v>
      </c>
      <c r="K58" s="120">
        <v>1420</v>
      </c>
      <c r="L58" s="120">
        <v>1420</v>
      </c>
      <c r="M58" s="120">
        <v>1420</v>
      </c>
      <c r="N58" s="120">
        <v>1420</v>
      </c>
      <c r="O58" s="120">
        <v>1420</v>
      </c>
      <c r="P58" s="120">
        <v>1420</v>
      </c>
      <c r="Q58" s="120">
        <v>1420</v>
      </c>
      <c r="R58" s="120">
        <v>1420</v>
      </c>
      <c r="S58" s="120">
        <v>1420</v>
      </c>
      <c r="T58" s="120">
        <v>1420</v>
      </c>
      <c r="U58" s="120">
        <v>1420</v>
      </c>
      <c r="X58" s="120">
        <v>1420</v>
      </c>
      <c r="Y58" s="120">
        <v>1420</v>
      </c>
      <c r="Z58" s="120">
        <v>1420</v>
      </c>
      <c r="AA58" s="120">
        <v>1420</v>
      </c>
      <c r="AB58" s="120">
        <v>1420</v>
      </c>
      <c r="AC58" s="120">
        <v>1420</v>
      </c>
      <c r="AD58" s="120">
        <v>1420</v>
      </c>
      <c r="AE58" s="120">
        <v>1420</v>
      </c>
      <c r="AF58" s="120">
        <v>1420</v>
      </c>
      <c r="AG58" s="120">
        <v>1420</v>
      </c>
      <c r="AH58" s="120">
        <v>1420</v>
      </c>
      <c r="AI58" s="120">
        <v>1420</v>
      </c>
      <c r="AL58" s="120">
        <v>1420</v>
      </c>
      <c r="AM58" s="120">
        <v>1420</v>
      </c>
      <c r="AN58" s="120">
        <v>1420</v>
      </c>
      <c r="AO58" s="120">
        <v>1420</v>
      </c>
      <c r="AP58" s="120">
        <v>1420</v>
      </c>
      <c r="AQ58" s="120">
        <v>1420</v>
      </c>
      <c r="AR58" s="120">
        <v>1420</v>
      </c>
      <c r="AS58" s="120">
        <v>1420</v>
      </c>
      <c r="AT58" s="120">
        <v>1420</v>
      </c>
      <c r="AU58" s="120">
        <v>1420</v>
      </c>
      <c r="AV58" s="120">
        <v>1420</v>
      </c>
      <c r="AW58" s="120">
        <v>1420</v>
      </c>
    </row>
    <row r="59" spans="2:49" x14ac:dyDescent="0.3">
      <c r="B59" s="181" t="s">
        <v>201</v>
      </c>
      <c r="C59" s="187">
        <f>C38-C58</f>
        <v>0</v>
      </c>
      <c r="J59" s="2" t="s">
        <v>0</v>
      </c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X59" s="2" t="s">
        <v>0</v>
      </c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L59" s="2" t="s">
        <v>0</v>
      </c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</row>
    <row r="60" spans="2:49" x14ac:dyDescent="0.3">
      <c r="B60" s="180" t="s">
        <v>202</v>
      </c>
      <c r="C60" s="186">
        <f>C38</f>
        <v>30000</v>
      </c>
      <c r="J60" s="109">
        <v>1</v>
      </c>
      <c r="K60" s="109">
        <v>2</v>
      </c>
      <c r="L60" s="109">
        <v>3</v>
      </c>
      <c r="M60" s="109">
        <v>4</v>
      </c>
      <c r="N60" s="109">
        <v>5</v>
      </c>
      <c r="O60" s="109">
        <v>6</v>
      </c>
      <c r="P60" s="109">
        <v>7</v>
      </c>
      <c r="Q60" s="109">
        <v>8</v>
      </c>
      <c r="R60" s="109">
        <v>9</v>
      </c>
      <c r="S60" s="109">
        <v>10</v>
      </c>
      <c r="T60" s="109">
        <v>11</v>
      </c>
      <c r="U60" s="109">
        <v>12</v>
      </c>
      <c r="X60" s="109">
        <v>1</v>
      </c>
      <c r="Y60" s="109">
        <v>2</v>
      </c>
      <c r="Z60" s="109">
        <v>3</v>
      </c>
      <c r="AA60" s="109">
        <v>4</v>
      </c>
      <c r="AB60" s="109">
        <v>5</v>
      </c>
      <c r="AC60" s="109">
        <v>6</v>
      </c>
      <c r="AD60" s="109">
        <v>7</v>
      </c>
      <c r="AE60" s="109">
        <v>8</v>
      </c>
      <c r="AF60" s="109">
        <v>9</v>
      </c>
      <c r="AG60" s="109">
        <v>10</v>
      </c>
      <c r="AH60" s="109">
        <v>11</v>
      </c>
      <c r="AI60" s="109">
        <v>12</v>
      </c>
      <c r="AL60" s="109">
        <v>1</v>
      </c>
      <c r="AM60" s="109">
        <v>2</v>
      </c>
      <c r="AN60" s="109">
        <v>3</v>
      </c>
      <c r="AO60" s="109">
        <v>4</v>
      </c>
      <c r="AP60" s="109">
        <v>5</v>
      </c>
      <c r="AQ60" s="109">
        <v>6</v>
      </c>
      <c r="AR60" s="109">
        <v>7</v>
      </c>
      <c r="AS60" s="109">
        <v>8</v>
      </c>
      <c r="AT60" s="109">
        <v>9</v>
      </c>
      <c r="AU60" s="109">
        <v>10</v>
      </c>
      <c r="AV60" s="109">
        <v>11</v>
      </c>
      <c r="AW60" s="109">
        <v>12</v>
      </c>
    </row>
    <row r="61" spans="2:49" x14ac:dyDescent="0.3">
      <c r="B61" s="180" t="s">
        <v>203</v>
      </c>
      <c r="C61" s="186">
        <f>C60-C59</f>
        <v>30000</v>
      </c>
      <c r="I61" t="s">
        <v>49</v>
      </c>
      <c r="J61" s="109">
        <v>31</v>
      </c>
      <c r="K61" s="109">
        <v>30</v>
      </c>
      <c r="L61" s="109">
        <v>31</v>
      </c>
      <c r="M61" s="109">
        <v>30</v>
      </c>
      <c r="N61" s="109">
        <v>31</v>
      </c>
      <c r="O61" s="109">
        <v>31</v>
      </c>
      <c r="P61" s="109">
        <v>28</v>
      </c>
      <c r="Q61" s="109">
        <v>31</v>
      </c>
      <c r="R61" s="109">
        <v>30</v>
      </c>
      <c r="S61" s="109">
        <v>31</v>
      </c>
      <c r="T61" s="109">
        <v>30</v>
      </c>
      <c r="U61" s="109">
        <v>31</v>
      </c>
      <c r="X61" s="109">
        <v>31</v>
      </c>
      <c r="Y61" s="109">
        <v>30</v>
      </c>
      <c r="Z61" s="109">
        <v>31</v>
      </c>
      <c r="AA61" s="109">
        <v>30</v>
      </c>
      <c r="AB61" s="109">
        <v>31</v>
      </c>
      <c r="AC61" s="109">
        <v>31</v>
      </c>
      <c r="AD61" s="109">
        <v>28</v>
      </c>
      <c r="AE61" s="109">
        <v>31</v>
      </c>
      <c r="AF61" s="109">
        <v>30</v>
      </c>
      <c r="AG61" s="109">
        <v>31</v>
      </c>
      <c r="AH61" s="109">
        <v>30</v>
      </c>
      <c r="AI61" s="109">
        <v>31</v>
      </c>
      <c r="AL61" s="109">
        <v>31</v>
      </c>
      <c r="AM61" s="109">
        <v>30</v>
      </c>
      <c r="AN61" s="109">
        <v>31</v>
      </c>
      <c r="AO61" s="109">
        <v>30</v>
      </c>
      <c r="AP61" s="109">
        <v>31</v>
      </c>
      <c r="AQ61" s="109">
        <v>31</v>
      </c>
      <c r="AR61" s="109">
        <v>28</v>
      </c>
      <c r="AS61" s="109">
        <v>31</v>
      </c>
      <c r="AT61" s="109">
        <v>30</v>
      </c>
      <c r="AU61" s="109">
        <v>31</v>
      </c>
      <c r="AV61" s="109">
        <v>30</v>
      </c>
      <c r="AW61" s="109">
        <v>31</v>
      </c>
    </row>
    <row r="62" spans="2:49" ht="21" x14ac:dyDescent="0.4">
      <c r="B62" s="1" t="s">
        <v>235</v>
      </c>
      <c r="C62" s="208">
        <v>0.2</v>
      </c>
      <c r="F62" s="105" t="s">
        <v>50</v>
      </c>
      <c r="G62" s="32"/>
      <c r="H62" s="32" t="s">
        <v>51</v>
      </c>
      <c r="I62" s="32"/>
      <c r="J62" s="33" t="s">
        <v>2</v>
      </c>
      <c r="K62" s="33" t="s">
        <v>3</v>
      </c>
      <c r="L62" s="33" t="s">
        <v>4</v>
      </c>
      <c r="M62" s="33" t="s">
        <v>5</v>
      </c>
      <c r="N62" s="33" t="s">
        <v>6</v>
      </c>
      <c r="O62" s="33" t="s">
        <v>7</v>
      </c>
      <c r="P62" s="33" t="s">
        <v>8</v>
      </c>
      <c r="Q62" s="33" t="s">
        <v>9</v>
      </c>
      <c r="R62" s="33" t="s">
        <v>10</v>
      </c>
      <c r="S62" s="33" t="s">
        <v>11</v>
      </c>
      <c r="T62" s="33" t="s">
        <v>12</v>
      </c>
      <c r="U62" s="33" t="s">
        <v>13</v>
      </c>
      <c r="X62" s="33" t="s">
        <v>2</v>
      </c>
      <c r="Y62" s="33" t="s">
        <v>3</v>
      </c>
      <c r="Z62" s="33" t="s">
        <v>4</v>
      </c>
      <c r="AA62" s="33" t="s">
        <v>5</v>
      </c>
      <c r="AB62" s="33" t="s">
        <v>6</v>
      </c>
      <c r="AC62" s="33" t="s">
        <v>7</v>
      </c>
      <c r="AD62" s="33" t="s">
        <v>8</v>
      </c>
      <c r="AE62" s="33" t="s">
        <v>9</v>
      </c>
      <c r="AF62" s="33" t="s">
        <v>10</v>
      </c>
      <c r="AG62" s="33" t="s">
        <v>11</v>
      </c>
      <c r="AH62" s="33" t="s">
        <v>12</v>
      </c>
      <c r="AI62" s="33" t="s">
        <v>13</v>
      </c>
      <c r="AL62" s="33" t="s">
        <v>2</v>
      </c>
      <c r="AM62" s="33" t="s">
        <v>3</v>
      </c>
      <c r="AN62" s="33" t="s">
        <v>4</v>
      </c>
      <c r="AO62" s="33" t="s">
        <v>5</v>
      </c>
      <c r="AP62" s="33" t="s">
        <v>6</v>
      </c>
      <c r="AQ62" s="33" t="s">
        <v>7</v>
      </c>
      <c r="AR62" s="33" t="s">
        <v>8</v>
      </c>
      <c r="AS62" s="33" t="s">
        <v>9</v>
      </c>
      <c r="AT62" s="33" t="s">
        <v>10</v>
      </c>
      <c r="AU62" s="33" t="s">
        <v>11</v>
      </c>
      <c r="AV62" s="33" t="s">
        <v>12</v>
      </c>
      <c r="AW62" s="33" t="s">
        <v>13</v>
      </c>
    </row>
    <row r="63" spans="2:49" ht="15.6" x14ac:dyDescent="0.3">
      <c r="B63" s="185" t="s">
        <v>232</v>
      </c>
      <c r="C63" s="185"/>
      <c r="F63" s="19" t="s">
        <v>44</v>
      </c>
      <c r="G63" s="19"/>
      <c r="H63" s="19" t="s">
        <v>52</v>
      </c>
      <c r="I63" s="20"/>
      <c r="J63" s="141">
        <f t="shared" ref="J63:U63" si="180">J39/J58</f>
        <v>0</v>
      </c>
      <c r="K63" s="141">
        <f t="shared" si="180"/>
        <v>3754.8666666666595</v>
      </c>
      <c r="L63" s="141">
        <f t="shared" si="180"/>
        <v>1576.308920187797</v>
      </c>
      <c r="M63" s="141">
        <f t="shared" si="180"/>
        <v>26325.182159624415</v>
      </c>
      <c r="N63" s="141">
        <f t="shared" si="180"/>
        <v>8701.0272300469514</v>
      </c>
      <c r="O63" s="141">
        <f t="shared" si="180"/>
        <v>-8241.9368544600911</v>
      </c>
      <c r="P63" s="141">
        <f t="shared" si="180"/>
        <v>787.64272300469838</v>
      </c>
      <c r="Q63" s="141">
        <f t="shared" si="180"/>
        <v>21349.747652582162</v>
      </c>
      <c r="R63" s="141">
        <f t="shared" si="180"/>
        <v>26971.204694835684</v>
      </c>
      <c r="S63" s="141">
        <f t="shared" si="180"/>
        <v>28448.33286384977</v>
      </c>
      <c r="T63" s="141">
        <f t="shared" si="180"/>
        <v>12145.694835680755</v>
      </c>
      <c r="U63" s="141">
        <f t="shared" si="180"/>
        <v>30719.582159624417</v>
      </c>
      <c r="X63" s="141">
        <f t="shared" ref="X63:AI63" si="181">X39/X58</f>
        <v>23265.666666666672</v>
      </c>
      <c r="Y63" s="141">
        <f t="shared" si="181"/>
        <v>29560.849765258219</v>
      </c>
      <c r="Z63" s="141">
        <f t="shared" si="181"/>
        <v>25929.920187793432</v>
      </c>
      <c r="AA63" s="141">
        <f t="shared" si="181"/>
        <v>62050.596244131462</v>
      </c>
      <c r="AB63" s="141">
        <f t="shared" si="181"/>
        <v>34936.511737089204</v>
      </c>
      <c r="AC63" s="141">
        <f t="shared" si="181"/>
        <v>3236.610328638501</v>
      </c>
      <c r="AD63" s="141">
        <f t="shared" si="181"/>
        <v>10710.66666666667</v>
      </c>
      <c r="AE63" s="141">
        <f t="shared" si="181"/>
        <v>37447.511737089204</v>
      </c>
      <c r="AF63" s="141">
        <f t="shared" si="181"/>
        <v>37588.976525821599</v>
      </c>
      <c r="AG63" s="141">
        <f t="shared" si="181"/>
        <v>32838.117370892025</v>
      </c>
      <c r="AH63" s="141">
        <f t="shared" si="181"/>
        <v>8859.8356807511773</v>
      </c>
      <c r="AI63" s="141">
        <f t="shared" si="181"/>
        <v>26142.117370892021</v>
      </c>
      <c r="AL63" s="141">
        <f t="shared" ref="AL63:AW63" si="182">AL39/AL58</f>
        <v>23265.666666666672</v>
      </c>
      <c r="AM63" s="141">
        <f t="shared" si="182"/>
        <v>29560.849765258219</v>
      </c>
      <c r="AN63" s="141">
        <f t="shared" si="182"/>
        <v>25929.920187793432</v>
      </c>
      <c r="AO63" s="141">
        <f t="shared" si="182"/>
        <v>62050.596244131462</v>
      </c>
      <c r="AP63" s="141">
        <f t="shared" si="182"/>
        <v>34936.511737089204</v>
      </c>
      <c r="AQ63" s="141">
        <f t="shared" si="182"/>
        <v>3236.610328638501</v>
      </c>
      <c r="AR63" s="141">
        <f t="shared" si="182"/>
        <v>10710.66666666667</v>
      </c>
      <c r="AS63" s="141">
        <f t="shared" si="182"/>
        <v>37447.511737089204</v>
      </c>
      <c r="AT63" s="141">
        <f t="shared" si="182"/>
        <v>37588.976525821599</v>
      </c>
      <c r="AU63" s="141">
        <f t="shared" si="182"/>
        <v>32838.117370892025</v>
      </c>
      <c r="AV63" s="141">
        <f t="shared" si="182"/>
        <v>8859.8356807511773</v>
      </c>
      <c r="AW63" s="141">
        <f t="shared" si="182"/>
        <v>26142.117370892021</v>
      </c>
    </row>
    <row r="64" spans="2:49" ht="15.6" x14ac:dyDescent="0.3">
      <c r="B64" s="180" t="s">
        <v>233</v>
      </c>
      <c r="C64" s="205">
        <v>0</v>
      </c>
      <c r="F64" s="21" t="s">
        <v>53</v>
      </c>
      <c r="G64" s="19"/>
      <c r="H64" s="19" t="s">
        <v>52</v>
      </c>
      <c r="I64" s="142">
        <f>K37</f>
        <v>0</v>
      </c>
      <c r="J64" s="142">
        <f>J37</f>
        <v>0</v>
      </c>
      <c r="K64" s="142">
        <f t="shared" ref="K64:U64" si="183">K37</f>
        <v>0</v>
      </c>
      <c r="L64" s="142">
        <f t="shared" si="183"/>
        <v>0</v>
      </c>
      <c r="M64" s="142">
        <f t="shared" si="183"/>
        <v>0</v>
      </c>
      <c r="N64" s="142">
        <f t="shared" si="183"/>
        <v>0</v>
      </c>
      <c r="O64" s="142">
        <f t="shared" si="183"/>
        <v>0</v>
      </c>
      <c r="P64" s="142">
        <f t="shared" si="183"/>
        <v>0</v>
      </c>
      <c r="Q64" s="142">
        <f t="shared" si="183"/>
        <v>0</v>
      </c>
      <c r="R64" s="142">
        <f t="shared" si="183"/>
        <v>0</v>
      </c>
      <c r="S64" s="142">
        <f t="shared" si="183"/>
        <v>0</v>
      </c>
      <c r="T64" s="142">
        <f t="shared" si="183"/>
        <v>0</v>
      </c>
      <c r="U64" s="142">
        <f t="shared" si="183"/>
        <v>0</v>
      </c>
      <c r="X64" s="142">
        <f>X37</f>
        <v>0</v>
      </c>
      <c r="Y64" s="142">
        <f t="shared" ref="Y64:AI64" si="184">Y37</f>
        <v>0</v>
      </c>
      <c r="Z64" s="142">
        <f t="shared" si="184"/>
        <v>0</v>
      </c>
      <c r="AA64" s="142">
        <f t="shared" si="184"/>
        <v>0</v>
      </c>
      <c r="AB64" s="142">
        <f t="shared" si="184"/>
        <v>0</v>
      </c>
      <c r="AC64" s="142">
        <f t="shared" si="184"/>
        <v>0</v>
      </c>
      <c r="AD64" s="142">
        <f t="shared" si="184"/>
        <v>0</v>
      </c>
      <c r="AE64" s="142">
        <f t="shared" si="184"/>
        <v>0</v>
      </c>
      <c r="AF64" s="142">
        <f t="shared" si="184"/>
        <v>0</v>
      </c>
      <c r="AG64" s="142">
        <f t="shared" si="184"/>
        <v>0</v>
      </c>
      <c r="AH64" s="142">
        <f t="shared" si="184"/>
        <v>0</v>
      </c>
      <c r="AI64" s="142">
        <f t="shared" si="184"/>
        <v>0</v>
      </c>
      <c r="AL64" s="142">
        <f>AL37</f>
        <v>0</v>
      </c>
      <c r="AM64" s="142">
        <f t="shared" ref="AM64:AW64" si="185">AM37</f>
        <v>0</v>
      </c>
      <c r="AN64" s="142">
        <f t="shared" si="185"/>
        <v>0</v>
      </c>
      <c r="AO64" s="142">
        <f t="shared" si="185"/>
        <v>0</v>
      </c>
      <c r="AP64" s="142">
        <f t="shared" si="185"/>
        <v>0</v>
      </c>
      <c r="AQ64" s="142">
        <f t="shared" si="185"/>
        <v>0</v>
      </c>
      <c r="AR64" s="142">
        <f t="shared" si="185"/>
        <v>0</v>
      </c>
      <c r="AS64" s="142">
        <f t="shared" si="185"/>
        <v>0</v>
      </c>
      <c r="AT64" s="142">
        <f t="shared" si="185"/>
        <v>0</v>
      </c>
      <c r="AU64" s="142">
        <f t="shared" si="185"/>
        <v>0</v>
      </c>
      <c r="AV64" s="142">
        <f t="shared" si="185"/>
        <v>0</v>
      </c>
      <c r="AW64" s="142">
        <f t="shared" si="185"/>
        <v>0</v>
      </c>
    </row>
    <row r="65" spans="2:49" ht="15.6" x14ac:dyDescent="0.3">
      <c r="B65" s="180" t="s">
        <v>211</v>
      </c>
      <c r="C65" s="204" t="s">
        <v>231</v>
      </c>
      <c r="F65" s="21" t="s">
        <v>54</v>
      </c>
      <c r="G65" s="19"/>
      <c r="H65" s="19" t="s">
        <v>52</v>
      </c>
      <c r="I65" s="142">
        <f>-I66</f>
        <v>-30000</v>
      </c>
      <c r="J65" s="142">
        <f>-J66+I66</f>
        <v>30000</v>
      </c>
      <c r="K65" s="142">
        <f>-K66+I66</f>
        <v>43077.321126760558</v>
      </c>
      <c r="L65" s="142">
        <f t="shared" ref="L65" si="186">-L66+K66</f>
        <v>-53.335665606551629</v>
      </c>
      <c r="M65" s="142">
        <f t="shared" ref="M65" si="187">-M66+L66</f>
        <v>-5391.4422686657344</v>
      </c>
      <c r="N65" s="142">
        <f t="shared" ref="N65" si="188">-N66+M66</f>
        <v>5150.886839315448</v>
      </c>
      <c r="O65" s="142">
        <f t="shared" ref="O65" si="189">-O66+N66</f>
        <v>3437.0571899136776</v>
      </c>
      <c r="P65" s="142">
        <f t="shared" ref="P65" si="190">-P66+O66</f>
        <v>-385.00948026870901</v>
      </c>
      <c r="Q65" s="142">
        <f t="shared" ref="Q65" si="191">-Q66+P66</f>
        <v>-7170.0600335886193</v>
      </c>
      <c r="R65" s="142">
        <f t="shared" ref="R65" si="192">-R66+Q66</f>
        <v>-1250.209257155846</v>
      </c>
      <c r="S65" s="142">
        <f t="shared" ref="S65" si="193">-S66+R66</f>
        <v>-1060.8594048159866</v>
      </c>
      <c r="T65" s="142">
        <f t="shared" ref="T65" si="194">-T66+S66</f>
        <v>6048.4537710131699</v>
      </c>
      <c r="U65" s="142">
        <f t="shared" ref="U65" si="195">-U66+T66</f>
        <v>-2889.7337573830009</v>
      </c>
      <c r="X65" s="142">
        <f>-X66+U66</f>
        <v>5025.5293048614185</v>
      </c>
      <c r="Y65" s="142">
        <f t="shared" ref="Y65" si="196">-Y66+X66</f>
        <v>-1281.0913221263036</v>
      </c>
      <c r="Z65" s="142">
        <f t="shared" ref="Z65" si="197">-Z66+Y66</f>
        <v>413.69695592913195</v>
      </c>
      <c r="AA65" s="142">
        <f t="shared" ref="AA65" si="198">-AA66+Z66</f>
        <v>-11343.889444192013</v>
      </c>
      <c r="AB65" s="142">
        <f t="shared" ref="AB65" si="199">-AB66+AA66</f>
        <v>8411.6359230652597</v>
      </c>
      <c r="AC65" s="142">
        <f t="shared" ref="AC65" si="200">-AC66+AB66</f>
        <v>10320.457746478867</v>
      </c>
      <c r="AD65" s="142">
        <f t="shared" ref="AD65" si="201">-AD66+AC66</f>
        <v>694.13428149541869</v>
      </c>
      <c r="AE65" s="142">
        <f t="shared" ref="AE65" si="202">-AE66+AD66</f>
        <v>-11832.092027974286</v>
      </c>
      <c r="AF65" s="142">
        <f t="shared" ref="AF65" si="203">-AF66+AE66</f>
        <v>635.23614266241202</v>
      </c>
      <c r="AG65" s="142">
        <f t="shared" ref="AG65" si="204">-AG66+AF66</f>
        <v>865.4328714220901</v>
      </c>
      <c r="AH65" s="142">
        <f t="shared" ref="AH65" si="205">-AH66+AG66</f>
        <v>8799.6175980614644</v>
      </c>
      <c r="AI65" s="142">
        <f t="shared" ref="AI65" si="206">-AI66+AH66</f>
        <v>-6619.6175980614717</v>
      </c>
      <c r="AL65" s="142">
        <f>-AL66+AI66</f>
        <v>936.47887323942996</v>
      </c>
      <c r="AM65" s="142">
        <f t="shared" ref="AM65" si="207">-AM66+AL66</f>
        <v>-1281.0913221263036</v>
      </c>
      <c r="AN65" s="142">
        <f t="shared" ref="AN65" si="208">-AN66+AM66</f>
        <v>413.69695592913195</v>
      </c>
      <c r="AO65" s="142">
        <f t="shared" ref="AO65" si="209">-AO66+AN66</f>
        <v>-11343.889444192013</v>
      </c>
      <c r="AP65" s="142">
        <f t="shared" ref="AP65" si="210">-AP66+AO66</f>
        <v>8411.6359230652597</v>
      </c>
      <c r="AQ65" s="142">
        <f t="shared" ref="AQ65" si="211">-AQ66+AP66</f>
        <v>10320.457746478867</v>
      </c>
      <c r="AR65" s="142">
        <f t="shared" ref="AR65" si="212">-AR66+AQ66</f>
        <v>694.13428149541869</v>
      </c>
      <c r="AS65" s="142">
        <f t="shared" ref="AS65" si="213">-AS66+AR66</f>
        <v>-11832.092027974286</v>
      </c>
      <c r="AT65" s="142">
        <f t="shared" ref="AT65" si="214">-AT66+AS66</f>
        <v>635.23614266241202</v>
      </c>
      <c r="AU65" s="142">
        <f t="shared" ref="AU65" si="215">-AU66+AT66</f>
        <v>865.4328714220901</v>
      </c>
      <c r="AV65" s="142">
        <f t="shared" ref="AV65" si="216">-AV66+AU66</f>
        <v>8799.6175980614644</v>
      </c>
      <c r="AW65" s="142">
        <f t="shared" ref="AW65" si="217">-AW66+AV66</f>
        <v>-6619.6175980614717</v>
      </c>
    </row>
    <row r="66" spans="2:49" ht="15.6" x14ac:dyDescent="0.3">
      <c r="F66" s="23" t="s">
        <v>55</v>
      </c>
      <c r="G66" s="24"/>
      <c r="H66" s="24" t="s">
        <v>52</v>
      </c>
      <c r="I66" s="142">
        <f>(I67+I70)-I72</f>
        <v>30000</v>
      </c>
      <c r="J66" s="143">
        <f t="shared" ref="J66:U66" si="218">(J67+J68+J69+J70)-J71-J72</f>
        <v>0</v>
      </c>
      <c r="K66" s="143">
        <f t="shared" si="218"/>
        <v>-13077.321126760558</v>
      </c>
      <c r="L66" s="143">
        <f t="shared" si="218"/>
        <v>-13023.985461154007</v>
      </c>
      <c r="M66" s="143">
        <f t="shared" si="218"/>
        <v>-7632.5431924882723</v>
      </c>
      <c r="N66" s="143">
        <f t="shared" si="218"/>
        <v>-12783.43003180372</v>
      </c>
      <c r="O66" s="143">
        <f t="shared" si="218"/>
        <v>-16220.487221717398</v>
      </c>
      <c r="P66" s="143">
        <f t="shared" si="218"/>
        <v>-15835.477741448689</v>
      </c>
      <c r="Q66" s="143">
        <f t="shared" si="218"/>
        <v>-8665.4177078600696</v>
      </c>
      <c r="R66" s="143">
        <f t="shared" si="218"/>
        <v>-7415.2084507042237</v>
      </c>
      <c r="S66" s="143">
        <f t="shared" si="218"/>
        <v>-6354.349045888237</v>
      </c>
      <c r="T66" s="143">
        <f t="shared" si="218"/>
        <v>-12402.802816901407</v>
      </c>
      <c r="U66" s="143">
        <f t="shared" si="218"/>
        <v>-9513.069059518406</v>
      </c>
      <c r="X66" s="143">
        <f t="shared" ref="X66:AI66" si="219">(X67+X68+X69+X70)-X71-X72</f>
        <v>-14538.598364379824</v>
      </c>
      <c r="Y66" s="143">
        <f t="shared" si="219"/>
        <v>-13257.507042253521</v>
      </c>
      <c r="Z66" s="143">
        <f t="shared" si="219"/>
        <v>-13671.203998182653</v>
      </c>
      <c r="AA66" s="143">
        <f t="shared" si="219"/>
        <v>-2327.31455399064</v>
      </c>
      <c r="AB66" s="143">
        <f t="shared" si="219"/>
        <v>-10738.9504770559</v>
      </c>
      <c r="AC66" s="143">
        <f t="shared" si="219"/>
        <v>-21059.408223534767</v>
      </c>
      <c r="AD66" s="143">
        <f t="shared" si="219"/>
        <v>-21753.542505030186</v>
      </c>
      <c r="AE66" s="143">
        <f t="shared" si="219"/>
        <v>-9921.4504770558997</v>
      </c>
      <c r="AF66" s="143">
        <f t="shared" si="219"/>
        <v>-10556.686619718312</v>
      </c>
      <c r="AG66" s="143">
        <f t="shared" si="219"/>
        <v>-11422.119491140402</v>
      </c>
      <c r="AH66" s="143">
        <f t="shared" si="219"/>
        <v>-20221.737089201866</v>
      </c>
      <c r="AI66" s="143">
        <f t="shared" si="219"/>
        <v>-13602.119491140395</v>
      </c>
      <c r="AL66" s="143">
        <f t="shared" ref="AL66:AW66" si="220">(AL67+AL68+AL69+AL70)-AL71-AL72</f>
        <v>-14538.598364379824</v>
      </c>
      <c r="AM66" s="143">
        <f t="shared" si="220"/>
        <v>-13257.507042253521</v>
      </c>
      <c r="AN66" s="143">
        <f t="shared" si="220"/>
        <v>-13671.203998182653</v>
      </c>
      <c r="AO66" s="143">
        <f t="shared" si="220"/>
        <v>-2327.31455399064</v>
      </c>
      <c r="AP66" s="143">
        <f t="shared" si="220"/>
        <v>-10738.9504770559</v>
      </c>
      <c r="AQ66" s="143">
        <f t="shared" si="220"/>
        <v>-21059.408223534767</v>
      </c>
      <c r="AR66" s="143">
        <f t="shared" si="220"/>
        <v>-21753.542505030186</v>
      </c>
      <c r="AS66" s="143">
        <f t="shared" si="220"/>
        <v>-9921.4504770558997</v>
      </c>
      <c r="AT66" s="143">
        <f t="shared" si="220"/>
        <v>-10556.686619718312</v>
      </c>
      <c r="AU66" s="143">
        <f t="shared" si="220"/>
        <v>-11422.119491140402</v>
      </c>
      <c r="AV66" s="143">
        <f t="shared" si="220"/>
        <v>-20221.737089201866</v>
      </c>
      <c r="AW66" s="143">
        <f t="shared" si="220"/>
        <v>-13602.119491140395</v>
      </c>
    </row>
    <row r="67" spans="2:49" ht="15.6" x14ac:dyDescent="0.3">
      <c r="F67" s="121">
        <v>4</v>
      </c>
      <c r="G67" s="24" t="s">
        <v>56</v>
      </c>
      <c r="H67" s="24" t="s">
        <v>57</v>
      </c>
      <c r="I67" s="122">
        <v>30000</v>
      </c>
      <c r="J67" s="142">
        <f>((J5/J61)*$F$67)/J58</f>
        <v>0</v>
      </c>
      <c r="K67" s="142">
        <f>((K5/K61)*$F$67)/K58</f>
        <v>15152.45070422535</v>
      </c>
      <c r="L67" s="142">
        <f>((L5/L61)*$F$67)/L58</f>
        <v>14143.098591549297</v>
      </c>
      <c r="M67" s="142">
        <f t="shared" ref="M67:U67" si="221">((M5/M61)*$F$67)/M58</f>
        <v>21629.558685446009</v>
      </c>
      <c r="N67" s="142">
        <f t="shared" si="221"/>
        <v>16720.563380281692</v>
      </c>
      <c r="O67" s="142">
        <f t="shared" si="221"/>
        <v>11797.042253521127</v>
      </c>
      <c r="P67" s="142">
        <f t="shared" si="221"/>
        <v>15449.788732394367</v>
      </c>
      <c r="Q67" s="142">
        <f t="shared" si="221"/>
        <v>19742.957746478874</v>
      </c>
      <c r="R67" s="142">
        <f t="shared" si="221"/>
        <v>21789.070422535213</v>
      </c>
      <c r="S67" s="142">
        <f t="shared" si="221"/>
        <v>21439.154929577464</v>
      </c>
      <c r="T67" s="142">
        <f t="shared" si="221"/>
        <v>18128.450704225354</v>
      </c>
      <c r="U67" s="142">
        <f t="shared" si="221"/>
        <v>23622.535211267605</v>
      </c>
      <c r="X67" s="142">
        <f>((X5/X61)*$F$67)/X58</f>
        <v>22935.211267605635</v>
      </c>
      <c r="Y67" s="142">
        <f>((Y5/Y61)*$F$67)/Y58</f>
        <v>25254.084507042255</v>
      </c>
      <c r="Z67" s="142">
        <f>((Z5/Z61)*$F$67)/Z58</f>
        <v>23571.830985915494</v>
      </c>
      <c r="AA67" s="142">
        <f t="shared" ref="AA67:AI67" si="222">((AA5/AA61)*$F$67)/AA58</f>
        <v>33276.244131455394</v>
      </c>
      <c r="AB67" s="142">
        <f t="shared" si="222"/>
        <v>25723.943661971833</v>
      </c>
      <c r="AC67" s="142">
        <f t="shared" si="222"/>
        <v>18149.295774647886</v>
      </c>
      <c r="AD67" s="142">
        <f t="shared" si="222"/>
        <v>22071.12676056338</v>
      </c>
      <c r="AE67" s="142">
        <f t="shared" si="222"/>
        <v>26323.943661971833</v>
      </c>
      <c r="AF67" s="142">
        <f t="shared" si="222"/>
        <v>27236.338028169015</v>
      </c>
      <c r="AG67" s="142">
        <f t="shared" si="222"/>
        <v>25222.535211267605</v>
      </c>
      <c r="AH67" s="142">
        <f t="shared" si="222"/>
        <v>20142.723004694835</v>
      </c>
      <c r="AI67" s="142">
        <f t="shared" si="222"/>
        <v>23622.535211267605</v>
      </c>
      <c r="AL67" s="142">
        <f>((AL5/AL61)*$F$67)/AL58</f>
        <v>22935.211267605635</v>
      </c>
      <c r="AM67" s="142">
        <f>((AM5/AM61)*$F$67)/AM58</f>
        <v>25254.084507042255</v>
      </c>
      <c r="AN67" s="142">
        <f>((AN5/AN61)*$F$67)/AN58</f>
        <v>23571.830985915494</v>
      </c>
      <c r="AO67" s="142">
        <f t="shared" ref="AO67:AW67" si="223">((AO5/AO61)*$F$67)/AO58</f>
        <v>33276.244131455394</v>
      </c>
      <c r="AP67" s="142">
        <f t="shared" si="223"/>
        <v>25723.943661971833</v>
      </c>
      <c r="AQ67" s="142">
        <f t="shared" si="223"/>
        <v>18149.295774647886</v>
      </c>
      <c r="AR67" s="142">
        <f t="shared" si="223"/>
        <v>22071.12676056338</v>
      </c>
      <c r="AS67" s="142">
        <f t="shared" si="223"/>
        <v>26323.943661971833</v>
      </c>
      <c r="AT67" s="142">
        <f t="shared" si="223"/>
        <v>27236.338028169015</v>
      </c>
      <c r="AU67" s="142">
        <f t="shared" si="223"/>
        <v>25222.535211267605</v>
      </c>
      <c r="AV67" s="142">
        <f t="shared" si="223"/>
        <v>20142.723004694835</v>
      </c>
      <c r="AW67" s="142">
        <f t="shared" si="223"/>
        <v>23622.535211267605</v>
      </c>
    </row>
    <row r="68" spans="2:49" ht="15.6" x14ac:dyDescent="0.3">
      <c r="F68" s="121">
        <v>-15</v>
      </c>
      <c r="G68" s="24" t="s">
        <v>240</v>
      </c>
      <c r="H68" s="24" t="s">
        <v>57</v>
      </c>
      <c r="I68" s="211"/>
      <c r="J68" s="142">
        <f>((J54/J61)*$F$68)/J58</f>
        <v>0</v>
      </c>
      <c r="K68" s="142">
        <f t="shared" ref="K68:U68" si="224">((K54/K61)*$F$68)/K58</f>
        <v>-17614.723943661967</v>
      </c>
      <c r="L68" s="142">
        <f t="shared" si="224"/>
        <v>-16441.352112676057</v>
      </c>
      <c r="M68" s="142">
        <f t="shared" si="224"/>
        <v>-25144.361971830986</v>
      </c>
      <c r="N68" s="142">
        <f t="shared" si="224"/>
        <v>-19437.654929577464</v>
      </c>
      <c r="O68" s="142">
        <f t="shared" si="224"/>
        <v>-13714.06161971831</v>
      </c>
      <c r="P68" s="142">
        <f t="shared" si="224"/>
        <v>-17960.379401408452</v>
      </c>
      <c r="Q68" s="142">
        <f t="shared" si="224"/>
        <v>-22951.188380281692</v>
      </c>
      <c r="R68" s="142">
        <f t="shared" si="224"/>
        <v>-25329.794366197184</v>
      </c>
      <c r="S68" s="142">
        <f t="shared" si="224"/>
        <v>-24923.017605633802</v>
      </c>
      <c r="T68" s="142">
        <f t="shared" si="224"/>
        <v>-21074.323943661973</v>
      </c>
      <c r="U68" s="142">
        <f t="shared" si="224"/>
        <v>-27461.197183098593</v>
      </c>
      <c r="X68" s="142">
        <f t="shared" ref="X68:AI68" si="225">((X54/X61)*$F$68)/X58</f>
        <v>-26662.183098591548</v>
      </c>
      <c r="Y68" s="142">
        <f t="shared" si="225"/>
        <v>-29357.87323943662</v>
      </c>
      <c r="Z68" s="142">
        <f t="shared" si="225"/>
        <v>-27402.25352112676</v>
      </c>
      <c r="AA68" s="142">
        <f t="shared" si="225"/>
        <v>-38683.633802816905</v>
      </c>
      <c r="AB68" s="142">
        <f t="shared" si="225"/>
        <v>-29904.084507042255</v>
      </c>
      <c r="AC68" s="142">
        <f t="shared" si="225"/>
        <v>-21098.556338028167</v>
      </c>
      <c r="AD68" s="142">
        <f t="shared" si="225"/>
        <v>-25657.684859154928</v>
      </c>
      <c r="AE68" s="142">
        <f t="shared" si="225"/>
        <v>-30601.584507042255</v>
      </c>
      <c r="AF68" s="142">
        <f t="shared" si="225"/>
        <v>-31662.242957746479</v>
      </c>
      <c r="AG68" s="142">
        <f t="shared" si="225"/>
        <v>-29321.197183098593</v>
      </c>
      <c r="AH68" s="142">
        <f t="shared" si="225"/>
        <v>-23415.915492957745</v>
      </c>
      <c r="AI68" s="142">
        <f t="shared" si="225"/>
        <v>-27461.197183098593</v>
      </c>
      <c r="AL68" s="142">
        <f t="shared" ref="AL68:AW68" si="226">((AL54/AL61)*$F$68)/AL58</f>
        <v>-26662.183098591548</v>
      </c>
      <c r="AM68" s="142">
        <f t="shared" si="226"/>
        <v>-29357.87323943662</v>
      </c>
      <c r="AN68" s="142">
        <f t="shared" si="226"/>
        <v>-27402.25352112676</v>
      </c>
      <c r="AO68" s="142">
        <f t="shared" si="226"/>
        <v>-38683.633802816905</v>
      </c>
      <c r="AP68" s="142">
        <f t="shared" si="226"/>
        <v>-29904.084507042255</v>
      </c>
      <c r="AQ68" s="142">
        <f t="shared" si="226"/>
        <v>-21098.556338028167</v>
      </c>
      <c r="AR68" s="142">
        <f t="shared" si="226"/>
        <v>-25657.684859154928</v>
      </c>
      <c r="AS68" s="142">
        <f t="shared" si="226"/>
        <v>-30601.584507042255</v>
      </c>
      <c r="AT68" s="142">
        <f t="shared" si="226"/>
        <v>-31662.242957746479</v>
      </c>
      <c r="AU68" s="142">
        <f t="shared" si="226"/>
        <v>-29321.197183098593</v>
      </c>
      <c r="AV68" s="142">
        <f t="shared" si="226"/>
        <v>-23415.915492957745</v>
      </c>
      <c r="AW68" s="142">
        <f t="shared" si="226"/>
        <v>-27461.197183098593</v>
      </c>
    </row>
    <row r="69" spans="2:49" ht="15.6" x14ac:dyDescent="0.3">
      <c r="F69" s="121"/>
      <c r="G69" s="24" t="s">
        <v>246</v>
      </c>
      <c r="H69" s="24" t="s">
        <v>247</v>
      </c>
      <c r="I69" s="211"/>
      <c r="J69" s="142">
        <f>J25/J58</f>
        <v>0</v>
      </c>
      <c r="K69" s="142">
        <f t="shared" ref="K69:U69" si="227">K25/K58</f>
        <v>10563.380281690141</v>
      </c>
      <c r="L69" s="142">
        <f t="shared" si="227"/>
        <v>10563.380281690141</v>
      </c>
      <c r="M69" s="142">
        <f t="shared" si="227"/>
        <v>10563.380281690141</v>
      </c>
      <c r="N69" s="142">
        <f t="shared" si="227"/>
        <v>10563.380281690141</v>
      </c>
      <c r="O69" s="142">
        <f t="shared" si="227"/>
        <v>10563.380281690141</v>
      </c>
      <c r="P69" s="142">
        <f t="shared" si="227"/>
        <v>10563.380281690141</v>
      </c>
      <c r="Q69" s="142">
        <f t="shared" si="227"/>
        <v>10563.380281690141</v>
      </c>
      <c r="R69" s="142">
        <f t="shared" si="227"/>
        <v>10563.380281690141</v>
      </c>
      <c r="S69" s="142">
        <f t="shared" si="227"/>
        <v>10563.380281690141</v>
      </c>
      <c r="T69" s="142">
        <f t="shared" si="227"/>
        <v>10563.380281690141</v>
      </c>
      <c r="U69" s="142">
        <f t="shared" si="227"/>
        <v>10563.380281690141</v>
      </c>
      <c r="X69" s="142">
        <f t="shared" ref="X69:AI69" si="228">X25/X58</f>
        <v>10563.380281690141</v>
      </c>
      <c r="Y69" s="142">
        <f t="shared" si="228"/>
        <v>10563.380281690141</v>
      </c>
      <c r="Z69" s="142">
        <f t="shared" si="228"/>
        <v>10563.380281690141</v>
      </c>
      <c r="AA69" s="142">
        <f t="shared" si="228"/>
        <v>10563.380281690141</v>
      </c>
      <c r="AB69" s="142">
        <f t="shared" si="228"/>
        <v>10563.380281690141</v>
      </c>
      <c r="AC69" s="142">
        <f t="shared" si="228"/>
        <v>10563.380281690141</v>
      </c>
      <c r="AD69" s="142">
        <f t="shared" si="228"/>
        <v>10563.380281690141</v>
      </c>
      <c r="AE69" s="142">
        <f t="shared" si="228"/>
        <v>10563.380281690141</v>
      </c>
      <c r="AF69" s="142">
        <f t="shared" si="228"/>
        <v>10563.380281690141</v>
      </c>
      <c r="AG69" s="142">
        <f t="shared" si="228"/>
        <v>10563.380281690141</v>
      </c>
      <c r="AH69" s="142">
        <f t="shared" si="228"/>
        <v>10563.380281690141</v>
      </c>
      <c r="AI69" s="142">
        <f t="shared" si="228"/>
        <v>10563.380281690141</v>
      </c>
      <c r="AL69" s="142">
        <f t="shared" ref="AL69:AW69" si="229">AL25/AL58</f>
        <v>10563.380281690141</v>
      </c>
      <c r="AM69" s="142">
        <f t="shared" si="229"/>
        <v>10563.380281690141</v>
      </c>
      <c r="AN69" s="142">
        <f t="shared" si="229"/>
        <v>10563.380281690141</v>
      </c>
      <c r="AO69" s="142">
        <f t="shared" si="229"/>
        <v>10563.380281690141</v>
      </c>
      <c r="AP69" s="142">
        <f t="shared" si="229"/>
        <v>10563.380281690141</v>
      </c>
      <c r="AQ69" s="142">
        <f t="shared" si="229"/>
        <v>10563.380281690141</v>
      </c>
      <c r="AR69" s="142">
        <f t="shared" si="229"/>
        <v>10563.380281690141</v>
      </c>
      <c r="AS69" s="142">
        <f t="shared" si="229"/>
        <v>10563.380281690141</v>
      </c>
      <c r="AT69" s="142">
        <f t="shared" si="229"/>
        <v>10563.380281690141</v>
      </c>
      <c r="AU69" s="142">
        <f t="shared" si="229"/>
        <v>10563.380281690141</v>
      </c>
      <c r="AV69" s="142">
        <f t="shared" si="229"/>
        <v>10563.380281690141</v>
      </c>
      <c r="AW69" s="142">
        <f t="shared" si="229"/>
        <v>10563.380281690141</v>
      </c>
    </row>
    <row r="70" spans="2:49" ht="15.6" x14ac:dyDescent="0.3">
      <c r="F70" s="121">
        <v>10</v>
      </c>
      <c r="G70" s="24" t="s">
        <v>58</v>
      </c>
      <c r="H70" s="24" t="s">
        <v>57</v>
      </c>
      <c r="I70" s="123">
        <v>0</v>
      </c>
      <c r="J70" s="142">
        <f t="shared" ref="J70:U70" si="230">((J5/J61)*$F$70)/J58</f>
        <v>0</v>
      </c>
      <c r="K70" s="142">
        <f t="shared" si="230"/>
        <v>37881.126760563377</v>
      </c>
      <c r="L70" s="142">
        <f t="shared" si="230"/>
        <v>35357.74647887324</v>
      </c>
      <c r="M70" s="142">
        <f t="shared" si="230"/>
        <v>54073.896713615017</v>
      </c>
      <c r="N70" s="142">
        <f t="shared" si="230"/>
        <v>41801.408450704228</v>
      </c>
      <c r="O70" s="142">
        <f t="shared" si="230"/>
        <v>29492.605633802817</v>
      </c>
      <c r="P70" s="142">
        <f t="shared" si="230"/>
        <v>38624.471830985916</v>
      </c>
      <c r="Q70" s="142">
        <f t="shared" si="230"/>
        <v>49357.394366197186</v>
      </c>
      <c r="R70" s="142">
        <f t="shared" si="230"/>
        <v>54472.67605633803</v>
      </c>
      <c r="S70" s="142">
        <f t="shared" si="230"/>
        <v>53597.887323943665</v>
      </c>
      <c r="T70" s="142">
        <f t="shared" si="230"/>
        <v>45321.126760563384</v>
      </c>
      <c r="U70" s="142">
        <f t="shared" si="230"/>
        <v>59056.338028169012</v>
      </c>
      <c r="X70" s="142">
        <f t="shared" ref="X70:AI70" si="231">((X5/X61)*$F$70)/X58</f>
        <v>57338.028169014084</v>
      </c>
      <c r="Y70" s="142">
        <f t="shared" si="231"/>
        <v>63135.211267605635</v>
      </c>
      <c r="Z70" s="142">
        <f t="shared" si="231"/>
        <v>58929.57746478873</v>
      </c>
      <c r="AA70" s="142">
        <f t="shared" si="231"/>
        <v>83190.61032863849</v>
      </c>
      <c r="AB70" s="142">
        <f t="shared" si="231"/>
        <v>64309.859154929574</v>
      </c>
      <c r="AC70" s="142">
        <f t="shared" si="231"/>
        <v>45373.239436619719</v>
      </c>
      <c r="AD70" s="142">
        <f t="shared" si="231"/>
        <v>55177.816901408449</v>
      </c>
      <c r="AE70" s="142">
        <f t="shared" si="231"/>
        <v>65809.859154929582</v>
      </c>
      <c r="AF70" s="142">
        <f t="shared" si="231"/>
        <v>68090.84507042254</v>
      </c>
      <c r="AG70" s="142">
        <f t="shared" si="231"/>
        <v>63056.338028169012</v>
      </c>
      <c r="AH70" s="142">
        <f t="shared" si="231"/>
        <v>50356.80751173709</v>
      </c>
      <c r="AI70" s="142">
        <f t="shared" si="231"/>
        <v>59056.338028169012</v>
      </c>
      <c r="AL70" s="142">
        <f t="shared" ref="AL70:AW70" si="232">((AL5/AL61)*$F$70)/AL58</f>
        <v>57338.028169014084</v>
      </c>
      <c r="AM70" s="142">
        <f t="shared" si="232"/>
        <v>63135.211267605635</v>
      </c>
      <c r="AN70" s="142">
        <f t="shared" si="232"/>
        <v>58929.57746478873</v>
      </c>
      <c r="AO70" s="142">
        <f t="shared" si="232"/>
        <v>83190.61032863849</v>
      </c>
      <c r="AP70" s="142">
        <f t="shared" si="232"/>
        <v>64309.859154929574</v>
      </c>
      <c r="AQ70" s="142">
        <f t="shared" si="232"/>
        <v>45373.239436619719</v>
      </c>
      <c r="AR70" s="142">
        <f t="shared" si="232"/>
        <v>55177.816901408449</v>
      </c>
      <c r="AS70" s="142">
        <f t="shared" si="232"/>
        <v>65809.859154929582</v>
      </c>
      <c r="AT70" s="142">
        <f t="shared" si="232"/>
        <v>68090.84507042254</v>
      </c>
      <c r="AU70" s="142">
        <f t="shared" si="232"/>
        <v>63056.338028169012</v>
      </c>
      <c r="AV70" s="142">
        <f t="shared" si="232"/>
        <v>50356.80751173709</v>
      </c>
      <c r="AW70" s="142">
        <f t="shared" si="232"/>
        <v>59056.338028169012</v>
      </c>
    </row>
    <row r="71" spans="2:49" ht="15.6" x14ac:dyDescent="0.3">
      <c r="F71" s="121">
        <v>15</v>
      </c>
      <c r="G71" s="24" t="s">
        <v>245</v>
      </c>
      <c r="H71" s="24" t="s">
        <v>57</v>
      </c>
      <c r="I71" s="123"/>
      <c r="J71" s="142">
        <f>((J55/J61)*$F$71)/J58</f>
        <v>0</v>
      </c>
      <c r="K71" s="142">
        <f>((K55/K61)*$F$71)/K58</f>
        <v>852.32535211267589</v>
      </c>
      <c r="L71" s="142">
        <f t="shared" ref="L71:U71" si="233">((L55/L61)*$F$71)/L58</f>
        <v>795.54929577464793</v>
      </c>
      <c r="M71" s="142">
        <f t="shared" si="233"/>
        <v>1216.6626760563381</v>
      </c>
      <c r="N71" s="142">
        <f t="shared" si="233"/>
        <v>940.53169014084506</v>
      </c>
      <c r="O71" s="142">
        <f t="shared" si="233"/>
        <v>663.58362676056333</v>
      </c>
      <c r="P71" s="142">
        <f t="shared" si="233"/>
        <v>869.0506161971831</v>
      </c>
      <c r="Q71" s="142">
        <f t="shared" si="233"/>
        <v>1110.5413732394366</v>
      </c>
      <c r="R71" s="142">
        <f t="shared" si="233"/>
        <v>1225.6352112676057</v>
      </c>
      <c r="S71" s="142">
        <f t="shared" si="233"/>
        <v>1205.9524647887324</v>
      </c>
      <c r="T71" s="142">
        <f t="shared" si="233"/>
        <v>1019.7253521126761</v>
      </c>
      <c r="U71" s="142">
        <f t="shared" si="233"/>
        <v>1328.7676056338028</v>
      </c>
      <c r="X71" s="142">
        <f t="shared" ref="X71:AI71" si="234">((X55/X61)*$F$71)/X58</f>
        <v>1290.105633802817</v>
      </c>
      <c r="Y71" s="142">
        <f t="shared" si="234"/>
        <v>1420.5422535211267</v>
      </c>
      <c r="Z71" s="142">
        <f t="shared" si="234"/>
        <v>1325.9154929577464</v>
      </c>
      <c r="AA71" s="142">
        <f t="shared" si="234"/>
        <v>1871.7887323943662</v>
      </c>
      <c r="AB71" s="142">
        <f t="shared" si="234"/>
        <v>1446.9718309859154</v>
      </c>
      <c r="AC71" s="142">
        <f t="shared" si="234"/>
        <v>1020.8978873239437</v>
      </c>
      <c r="AD71" s="142">
        <f t="shared" si="234"/>
        <v>1241.5008802816901</v>
      </c>
      <c r="AE71" s="142">
        <f t="shared" si="234"/>
        <v>1480.7218309859154</v>
      </c>
      <c r="AF71" s="142">
        <f t="shared" si="234"/>
        <v>1532.0440140845071</v>
      </c>
      <c r="AG71" s="142">
        <f t="shared" si="234"/>
        <v>1418.7676056338028</v>
      </c>
      <c r="AH71" s="142">
        <f t="shared" si="234"/>
        <v>1133.0281690140846</v>
      </c>
      <c r="AI71" s="142">
        <f t="shared" si="234"/>
        <v>1328.7676056338028</v>
      </c>
      <c r="AL71" s="142">
        <f t="shared" ref="AL71:AW71" si="235">((AL55/AL61)*$F$71)/AL58</f>
        <v>1290.105633802817</v>
      </c>
      <c r="AM71" s="142">
        <f t="shared" si="235"/>
        <v>1420.5422535211267</v>
      </c>
      <c r="AN71" s="142">
        <f t="shared" si="235"/>
        <v>1325.9154929577464</v>
      </c>
      <c r="AO71" s="142">
        <f t="shared" si="235"/>
        <v>1871.7887323943662</v>
      </c>
      <c r="AP71" s="142">
        <f t="shared" si="235"/>
        <v>1446.9718309859154</v>
      </c>
      <c r="AQ71" s="142">
        <f t="shared" si="235"/>
        <v>1020.8978873239437</v>
      </c>
      <c r="AR71" s="142">
        <f t="shared" si="235"/>
        <v>1241.5008802816901</v>
      </c>
      <c r="AS71" s="142">
        <f t="shared" si="235"/>
        <v>1480.7218309859154</v>
      </c>
      <c r="AT71" s="142">
        <f t="shared" si="235"/>
        <v>1532.0440140845071</v>
      </c>
      <c r="AU71" s="142">
        <f t="shared" si="235"/>
        <v>1418.7676056338028</v>
      </c>
      <c r="AV71" s="142">
        <f t="shared" si="235"/>
        <v>1133.0281690140846</v>
      </c>
      <c r="AW71" s="142">
        <f t="shared" si="235"/>
        <v>1328.7676056338028</v>
      </c>
    </row>
    <row r="72" spans="2:49" ht="15.6" x14ac:dyDescent="0.3">
      <c r="F72" s="121">
        <v>30</v>
      </c>
      <c r="G72" s="24" t="s">
        <v>244</v>
      </c>
      <c r="H72" s="24" t="s">
        <v>57</v>
      </c>
      <c r="I72" s="24"/>
      <c r="J72" s="142">
        <f t="shared" ref="J72:U72" si="236">((J56/J61)*$F$72)/J58</f>
        <v>0</v>
      </c>
      <c r="K72" s="142">
        <f t="shared" si="236"/>
        <v>58207.229577464786</v>
      </c>
      <c r="L72" s="142">
        <f t="shared" si="236"/>
        <v>55851.309404815984</v>
      </c>
      <c r="M72" s="142">
        <f t="shared" si="236"/>
        <v>67538.354225352115</v>
      </c>
      <c r="N72" s="142">
        <f t="shared" si="236"/>
        <v>61490.595524761477</v>
      </c>
      <c r="O72" s="142">
        <f t="shared" si="236"/>
        <v>53695.870144252607</v>
      </c>
      <c r="P72" s="142">
        <f t="shared" si="236"/>
        <v>61643.688568913472</v>
      </c>
      <c r="Q72" s="142">
        <f t="shared" si="236"/>
        <v>64267.420348705142</v>
      </c>
      <c r="R72" s="142">
        <f t="shared" si="236"/>
        <v>67684.905633802817</v>
      </c>
      <c r="S72" s="142">
        <f t="shared" si="236"/>
        <v>65825.801510676974</v>
      </c>
      <c r="T72" s="142">
        <f t="shared" si="236"/>
        <v>64321.711267605635</v>
      </c>
      <c r="U72" s="142">
        <f t="shared" si="236"/>
        <v>73965.357791912771</v>
      </c>
      <c r="X72" s="142">
        <f t="shared" ref="X72:AI72" si="237">((X56/X61)*$F$72)/X58</f>
        <v>77422.929350295322</v>
      </c>
      <c r="Y72" s="142">
        <f t="shared" si="237"/>
        <v>81431.76760563381</v>
      </c>
      <c r="Z72" s="142">
        <f t="shared" si="237"/>
        <v>78007.823716492509</v>
      </c>
      <c r="AA72" s="142">
        <f t="shared" si="237"/>
        <v>88802.126760563391</v>
      </c>
      <c r="AB72" s="142">
        <f t="shared" si="237"/>
        <v>79985.077237619276</v>
      </c>
      <c r="AC72" s="142">
        <f t="shared" si="237"/>
        <v>73025.869491140402</v>
      </c>
      <c r="AD72" s="142">
        <f t="shared" si="237"/>
        <v>82666.680709255539</v>
      </c>
      <c r="AE72" s="142">
        <f t="shared" si="237"/>
        <v>80536.327237619276</v>
      </c>
      <c r="AF72" s="142">
        <f t="shared" si="237"/>
        <v>83252.963028169019</v>
      </c>
      <c r="AG72" s="142">
        <f t="shared" si="237"/>
        <v>79524.40822353476</v>
      </c>
      <c r="AH72" s="142">
        <f t="shared" si="237"/>
        <v>76735.704225352107</v>
      </c>
      <c r="AI72" s="142">
        <f t="shared" si="237"/>
        <v>78054.40822353476</v>
      </c>
      <c r="AL72" s="142">
        <f t="shared" ref="AL72:AW72" si="238">((AL56/AL61)*$F$72)/AL58</f>
        <v>77422.929350295322</v>
      </c>
      <c r="AM72" s="142">
        <f t="shared" si="238"/>
        <v>81431.76760563381</v>
      </c>
      <c r="AN72" s="142">
        <f t="shared" si="238"/>
        <v>78007.823716492509</v>
      </c>
      <c r="AO72" s="142">
        <f t="shared" si="238"/>
        <v>88802.126760563391</v>
      </c>
      <c r="AP72" s="142">
        <f t="shared" si="238"/>
        <v>79985.077237619276</v>
      </c>
      <c r="AQ72" s="142">
        <f t="shared" si="238"/>
        <v>73025.869491140402</v>
      </c>
      <c r="AR72" s="142">
        <f t="shared" si="238"/>
        <v>82666.680709255539</v>
      </c>
      <c r="AS72" s="142">
        <f t="shared" si="238"/>
        <v>80536.327237619276</v>
      </c>
      <c r="AT72" s="142">
        <f t="shared" si="238"/>
        <v>83252.963028169019</v>
      </c>
      <c r="AU72" s="142">
        <f t="shared" si="238"/>
        <v>79524.40822353476</v>
      </c>
      <c r="AV72" s="142">
        <f t="shared" si="238"/>
        <v>76735.704225352107</v>
      </c>
      <c r="AW72" s="142">
        <f t="shared" si="238"/>
        <v>78054.40822353476</v>
      </c>
    </row>
    <row r="73" spans="2:49" ht="15.6" x14ac:dyDescent="0.3">
      <c r="F73" s="21" t="s">
        <v>59</v>
      </c>
      <c r="G73" s="19"/>
      <c r="H73" s="24" t="s">
        <v>52</v>
      </c>
      <c r="I73" s="142">
        <f>-C37</f>
        <v>-520000</v>
      </c>
      <c r="J73" s="19"/>
      <c r="K73" s="19"/>
      <c r="L73" s="19"/>
      <c r="X73" s="19"/>
      <c r="Y73" s="19"/>
      <c r="Z73" s="19"/>
      <c r="AL73" s="19"/>
      <c r="AM73" s="19"/>
      <c r="AN73" s="19"/>
    </row>
    <row r="74" spans="2:49" ht="15.6" x14ac:dyDescent="0.3">
      <c r="F74" s="21" t="s">
        <v>60</v>
      </c>
      <c r="G74" s="19"/>
      <c r="H74" s="24"/>
      <c r="I74" s="22"/>
      <c r="J74" s="19"/>
      <c r="K74" s="19"/>
      <c r="L74" s="19"/>
      <c r="X74" s="19"/>
      <c r="Y74" s="19"/>
      <c r="Z74" s="19"/>
      <c r="AL74" s="19"/>
      <c r="AM74" s="19"/>
      <c r="AN74" s="19"/>
    </row>
    <row r="75" spans="2:49" ht="15.6" x14ac:dyDescent="0.3">
      <c r="F75" s="21"/>
      <c r="G75" s="30" t="s">
        <v>67</v>
      </c>
      <c r="H75" s="24"/>
      <c r="I75" s="22"/>
      <c r="J75" s="142">
        <f>J30/J58</f>
        <v>0</v>
      </c>
      <c r="K75" s="142">
        <f>K30/K58</f>
        <v>2763.262910798122</v>
      </c>
      <c r="L75" s="142">
        <f>L30/L58</f>
        <v>2763.262910798122</v>
      </c>
      <c r="M75" s="142">
        <f>M30/M58</f>
        <v>3044.9530516431923</v>
      </c>
      <c r="N75" s="142">
        <f>N30/N58-N91</f>
        <v>-8571.4788732394372</v>
      </c>
      <c r="O75" s="142">
        <f>O30/O58</f>
        <v>2763.262910798122</v>
      </c>
      <c r="P75" s="142">
        <f>P30/P58</f>
        <v>2763.262910798122</v>
      </c>
      <c r="Q75" s="142">
        <f>Q30/Q58</f>
        <v>3044.9530516431923</v>
      </c>
      <c r="R75" s="142">
        <f>R30/R58</f>
        <v>3044.9530516431923</v>
      </c>
      <c r="S75" s="142">
        <f>S30/S58</f>
        <v>3044.9530516431923</v>
      </c>
      <c r="T75" s="142">
        <f>T30/T58-T91</f>
        <v>-14661.38497652582</v>
      </c>
      <c r="U75" s="142">
        <f>U30/U58</f>
        <v>3573.1220657276995</v>
      </c>
      <c r="X75" s="142">
        <f>X30/X58</f>
        <v>3925.2347417840374</v>
      </c>
      <c r="Y75" s="142">
        <f>Y30/Y58</f>
        <v>3925.2347417840374</v>
      </c>
      <c r="Z75" s="142">
        <f>Z30/Z58</f>
        <v>3925.2347417840374</v>
      </c>
      <c r="AA75" s="142">
        <f>AA30/AA58</f>
        <v>3925.2347417840374</v>
      </c>
      <c r="AB75" s="142">
        <f>AB30/AB58-AB91</f>
        <v>-19274.06103286385</v>
      </c>
      <c r="AC75" s="142">
        <f>AC30/AC58</f>
        <v>3925.2347417840374</v>
      </c>
      <c r="AD75" s="142">
        <f>AD30/AD58</f>
        <v>3925.2347417840374</v>
      </c>
      <c r="AE75" s="142">
        <f>AE30/AE58</f>
        <v>3925.2347417840374</v>
      </c>
      <c r="AF75" s="142">
        <f>AF30/AF58</f>
        <v>3925.2347417840374</v>
      </c>
      <c r="AG75" s="142">
        <f>AG30/AG58</f>
        <v>3925.2347417840374</v>
      </c>
      <c r="AH75" s="142">
        <f>AH30/AH58-AH91</f>
        <v>-19626.173708920185</v>
      </c>
      <c r="AI75" s="142">
        <f>AI30/AI58</f>
        <v>3925.2347417840374</v>
      </c>
      <c r="AL75" s="142">
        <f>AL30/AL58</f>
        <v>3925.2347417840374</v>
      </c>
      <c r="AM75" s="142">
        <f>AM30/AM58</f>
        <v>3925.2347417840374</v>
      </c>
      <c r="AN75" s="142">
        <f>AN30/AN58</f>
        <v>3925.2347417840374</v>
      </c>
      <c r="AO75" s="142">
        <f>AO30/AO58</f>
        <v>3925.2347417840374</v>
      </c>
      <c r="AP75" s="142">
        <f>AP30/AP58-AP91</f>
        <v>-19626.173708920185</v>
      </c>
      <c r="AQ75" s="142">
        <f>AQ30/AQ58</f>
        <v>3925.2347417840374</v>
      </c>
      <c r="AR75" s="142">
        <f>AR30/AR58</f>
        <v>3925.2347417840374</v>
      </c>
      <c r="AS75" s="142">
        <f>AS30/AS58</f>
        <v>3925.2347417840374</v>
      </c>
      <c r="AT75" s="142">
        <f>AT30/AT58</f>
        <v>3925.2347417840374</v>
      </c>
      <c r="AU75" s="142">
        <f>AU30/AU58</f>
        <v>3925.2347417840374</v>
      </c>
      <c r="AV75" s="142">
        <f>AV30/AV58-AV91</f>
        <v>-19626.173708920185</v>
      </c>
      <c r="AW75" s="142">
        <f>AW30/AW58</f>
        <v>3925.2347417840374</v>
      </c>
    </row>
    <row r="76" spans="2:49" ht="15.6" x14ac:dyDescent="0.3">
      <c r="F76" s="21"/>
      <c r="G76" s="30" t="s">
        <v>68</v>
      </c>
      <c r="H76" s="24"/>
      <c r="I76" s="22"/>
      <c r="J76" s="142">
        <f t="shared" ref="J76:U76" si="239">-J42/J58</f>
        <v>0</v>
      </c>
      <c r="K76" s="142">
        <f t="shared" si="239"/>
        <v>-187.743333333333</v>
      </c>
      <c r="L76" s="142">
        <f t="shared" si="239"/>
        <v>-78.815446009389845</v>
      </c>
      <c r="M76" s="142">
        <f t="shared" si="239"/>
        <v>-1316.2591079812207</v>
      </c>
      <c r="N76" s="142">
        <f t="shared" si="239"/>
        <v>-435.0513615023479</v>
      </c>
      <c r="O76" s="142">
        <f t="shared" si="239"/>
        <v>412.09684272300467</v>
      </c>
      <c r="P76" s="142">
        <f t="shared" si="239"/>
        <v>-39.382136150234722</v>
      </c>
      <c r="Q76" s="142">
        <f t="shared" si="239"/>
        <v>-1067.4873826291084</v>
      </c>
      <c r="R76" s="142">
        <f t="shared" si="239"/>
        <v>-1348.5602347417844</v>
      </c>
      <c r="S76" s="142">
        <f t="shared" si="239"/>
        <v>-1422.4166431924887</v>
      </c>
      <c r="T76" s="142">
        <f t="shared" si="239"/>
        <v>-607.28474178403735</v>
      </c>
      <c r="U76" s="142">
        <f t="shared" si="239"/>
        <v>-1535.9791079812212</v>
      </c>
      <c r="X76" s="142">
        <f t="shared" ref="X76:AI76" si="240">-X42/X58</f>
        <v>-1163.2833333333335</v>
      </c>
      <c r="Y76" s="142">
        <f t="shared" si="240"/>
        <v>-1478.0424882629113</v>
      </c>
      <c r="Z76" s="142">
        <f t="shared" si="240"/>
        <v>-1296.4960093896714</v>
      </c>
      <c r="AA76" s="142">
        <f t="shared" si="240"/>
        <v>-3102.5298122065724</v>
      </c>
      <c r="AB76" s="142">
        <f t="shared" si="240"/>
        <v>-1746.8255868544618</v>
      </c>
      <c r="AC76" s="142">
        <f t="shared" si="240"/>
        <v>-161.83051643192533</v>
      </c>
      <c r="AD76" s="142">
        <f t="shared" si="240"/>
        <v>-535.53333333333376</v>
      </c>
      <c r="AE76" s="142">
        <f t="shared" si="240"/>
        <v>-1872.3755868544606</v>
      </c>
      <c r="AF76" s="142">
        <f t="shared" si="240"/>
        <v>-1879.4488262910816</v>
      </c>
      <c r="AG76" s="142">
        <f t="shared" si="240"/>
        <v>-1641.9058685446028</v>
      </c>
      <c r="AH76" s="142">
        <f t="shared" si="240"/>
        <v>-442.99178403755781</v>
      </c>
      <c r="AI76" s="142">
        <f t="shared" si="240"/>
        <v>-1307.1058685446028</v>
      </c>
      <c r="AL76" s="142">
        <f t="shared" ref="AL76:AW76" si="241">-AL42/AL58</f>
        <v>-1163.2833333333335</v>
      </c>
      <c r="AM76" s="142">
        <f t="shared" si="241"/>
        <v>-1478.0424882629113</v>
      </c>
      <c r="AN76" s="142">
        <f t="shared" si="241"/>
        <v>-1296.4960093896714</v>
      </c>
      <c r="AO76" s="142">
        <f t="shared" si="241"/>
        <v>-3102.5298122065724</v>
      </c>
      <c r="AP76" s="142">
        <f t="shared" si="241"/>
        <v>-1746.8255868544618</v>
      </c>
      <c r="AQ76" s="142">
        <f t="shared" si="241"/>
        <v>-161.83051643192533</v>
      </c>
      <c r="AR76" s="142">
        <f t="shared" si="241"/>
        <v>-535.53333333333376</v>
      </c>
      <c r="AS76" s="142">
        <f t="shared" si="241"/>
        <v>-1872.3755868544606</v>
      </c>
      <c r="AT76" s="142">
        <f t="shared" si="241"/>
        <v>-1879.4488262910816</v>
      </c>
      <c r="AU76" s="142">
        <f t="shared" si="241"/>
        <v>-1641.9058685446028</v>
      </c>
      <c r="AV76" s="142">
        <f t="shared" si="241"/>
        <v>-442.99178403755781</v>
      </c>
      <c r="AW76" s="142">
        <f t="shared" si="241"/>
        <v>-1307.1058685446028</v>
      </c>
    </row>
    <row r="77" spans="2:49" ht="15.6" x14ac:dyDescent="0.3">
      <c r="F77" s="21"/>
      <c r="G77" s="29" t="s">
        <v>66</v>
      </c>
      <c r="H77" s="24" t="s">
        <v>52</v>
      </c>
      <c r="I77" s="19"/>
      <c r="J77" s="144">
        <f t="shared" ref="J77:K77" si="242">-J50/J58</f>
        <v>0</v>
      </c>
      <c r="K77" s="144">
        <f t="shared" si="242"/>
        <v>0</v>
      </c>
      <c r="L77" s="144">
        <f t="shared" ref="L77:U77" si="243">-L50/L58</f>
        <v>0</v>
      </c>
      <c r="M77" s="144">
        <f t="shared" si="243"/>
        <v>0</v>
      </c>
      <c r="N77" s="144">
        <f t="shared" si="243"/>
        <v>0</v>
      </c>
      <c r="O77" s="144">
        <f t="shared" si="243"/>
        <v>0</v>
      </c>
      <c r="P77" s="144">
        <f t="shared" si="243"/>
        <v>0</v>
      </c>
      <c r="Q77" s="144">
        <f t="shared" si="243"/>
        <v>0</v>
      </c>
      <c r="R77" s="144">
        <f t="shared" si="243"/>
        <v>0</v>
      </c>
      <c r="S77" s="144">
        <f t="shared" si="243"/>
        <v>0</v>
      </c>
      <c r="T77" s="144">
        <f t="shared" si="243"/>
        <v>0</v>
      </c>
      <c r="U77" s="144">
        <f t="shared" si="243"/>
        <v>0</v>
      </c>
      <c r="X77" s="144">
        <f t="shared" ref="X77:AI77" si="244">-X50/X58</f>
        <v>-2666.2183098591549</v>
      </c>
      <c r="Y77" s="144">
        <f t="shared" si="244"/>
        <v>-2841.0845070422533</v>
      </c>
      <c r="Z77" s="144">
        <f t="shared" si="244"/>
        <v>-2740.2253521126759</v>
      </c>
      <c r="AA77" s="144">
        <f t="shared" si="244"/>
        <v>-3743.5774647887324</v>
      </c>
      <c r="AB77" s="144">
        <f t="shared" si="244"/>
        <v>-2990.4084507042253</v>
      </c>
      <c r="AC77" s="144">
        <f t="shared" si="244"/>
        <v>-2109.855633802817</v>
      </c>
      <c r="AD77" s="144">
        <f t="shared" si="244"/>
        <v>-2317.4683098591549</v>
      </c>
      <c r="AE77" s="144">
        <f t="shared" si="244"/>
        <v>-3060.1584507042253</v>
      </c>
      <c r="AF77" s="144">
        <f t="shared" si="244"/>
        <v>-3064.0880281690143</v>
      </c>
      <c r="AG77" s="144">
        <f t="shared" si="244"/>
        <v>-2932.1197183098593</v>
      </c>
      <c r="AH77" s="144">
        <f t="shared" si="244"/>
        <v>-2266.0563380281692</v>
      </c>
      <c r="AI77" s="144">
        <f t="shared" si="244"/>
        <v>-2746.1197183098593</v>
      </c>
      <c r="AL77" s="144">
        <f t="shared" ref="AL77:AW77" si="245">-AL50/AL58</f>
        <v>-2666.2183098591549</v>
      </c>
      <c r="AM77" s="144">
        <f t="shared" si="245"/>
        <v>-2841.0845070422533</v>
      </c>
      <c r="AN77" s="144">
        <f t="shared" si="245"/>
        <v>-2740.2253521126759</v>
      </c>
      <c r="AO77" s="144">
        <f t="shared" si="245"/>
        <v>-3743.5774647887324</v>
      </c>
      <c r="AP77" s="144">
        <f t="shared" si="245"/>
        <v>-2990.4084507042253</v>
      </c>
      <c r="AQ77" s="144">
        <f t="shared" si="245"/>
        <v>-2109.855633802817</v>
      </c>
      <c r="AR77" s="144">
        <f t="shared" si="245"/>
        <v>-2317.4683098591549</v>
      </c>
      <c r="AS77" s="144">
        <f t="shared" si="245"/>
        <v>-3060.1584507042253</v>
      </c>
      <c r="AT77" s="144">
        <f t="shared" si="245"/>
        <v>-3064.0880281690143</v>
      </c>
      <c r="AU77" s="144">
        <f t="shared" si="245"/>
        <v>-2932.1197183098593</v>
      </c>
      <c r="AV77" s="144">
        <f t="shared" si="245"/>
        <v>-2266.0563380281692</v>
      </c>
      <c r="AW77" s="144">
        <f t="shared" si="245"/>
        <v>-2746.1197183098593</v>
      </c>
    </row>
    <row r="78" spans="2:49" ht="15.6" x14ac:dyDescent="0.3">
      <c r="F78" s="25" t="s">
        <v>61</v>
      </c>
      <c r="G78" s="26"/>
      <c r="H78" s="26" t="s">
        <v>52</v>
      </c>
      <c r="I78" s="145">
        <f>I63+I64+I65+I73</f>
        <v>-550000</v>
      </c>
      <c r="J78" s="145">
        <f t="shared" ref="J78:U78" si="246">J63+J64+J65+J73+J75+J76+J77</f>
        <v>30000</v>
      </c>
      <c r="K78" s="145">
        <f t="shared" si="246"/>
        <v>49407.707370892007</v>
      </c>
      <c r="L78" s="145">
        <f t="shared" si="246"/>
        <v>4207.4207193699767</v>
      </c>
      <c r="M78" s="145">
        <f t="shared" si="246"/>
        <v>22662.433834620653</v>
      </c>
      <c r="N78" s="145">
        <f t="shared" si="246"/>
        <v>4845.3838346206139</v>
      </c>
      <c r="O78" s="145">
        <f t="shared" si="246"/>
        <v>-1629.519911025287</v>
      </c>
      <c r="P78" s="145">
        <f t="shared" si="246"/>
        <v>3126.5140173838768</v>
      </c>
      <c r="Q78" s="145">
        <f t="shared" si="246"/>
        <v>16157.153288007627</v>
      </c>
      <c r="R78" s="145">
        <f t="shared" si="246"/>
        <v>27417.388254581245</v>
      </c>
      <c r="S78" s="145">
        <f t="shared" si="246"/>
        <v>29010.009867484485</v>
      </c>
      <c r="T78" s="145">
        <f t="shared" si="246"/>
        <v>2925.4788883840674</v>
      </c>
      <c r="U78" s="145">
        <f t="shared" si="246"/>
        <v>29866.991359987896</v>
      </c>
      <c r="X78" s="145">
        <f t="shared" ref="X78:AI78" si="247">X63+X64+X65+X73+X75+X76+X77</f>
        <v>28386.929070119637</v>
      </c>
      <c r="Y78" s="145">
        <f t="shared" si="247"/>
        <v>27885.866189610788</v>
      </c>
      <c r="Z78" s="145">
        <f t="shared" si="247"/>
        <v>26232.130524004253</v>
      </c>
      <c r="AA78" s="145">
        <f t="shared" si="247"/>
        <v>47785.834264728182</v>
      </c>
      <c r="AB78" s="145">
        <f t="shared" si="247"/>
        <v>19336.852589731927</v>
      </c>
      <c r="AC78" s="145">
        <f t="shared" si="247"/>
        <v>15210.616666666665</v>
      </c>
      <c r="AD78" s="145">
        <f t="shared" si="247"/>
        <v>12477.034046753637</v>
      </c>
      <c r="AE78" s="145">
        <f t="shared" si="247"/>
        <v>24608.120413340268</v>
      </c>
      <c r="AF78" s="145">
        <f t="shared" si="247"/>
        <v>37205.910555807954</v>
      </c>
      <c r="AG78" s="145">
        <f t="shared" si="247"/>
        <v>33054.759397243688</v>
      </c>
      <c r="AH78" s="145">
        <f t="shared" si="247"/>
        <v>-4675.768552173271</v>
      </c>
      <c r="AI78" s="145">
        <f t="shared" si="247"/>
        <v>19394.508927760126</v>
      </c>
      <c r="AL78" s="145">
        <f t="shared" ref="AL78:AW78" si="248">AL63+AL64+AL65+AL73+AL75+AL76+AL77</f>
        <v>24297.878638497648</v>
      </c>
      <c r="AM78" s="145">
        <f t="shared" si="248"/>
        <v>27885.866189610788</v>
      </c>
      <c r="AN78" s="145">
        <f t="shared" si="248"/>
        <v>26232.130524004253</v>
      </c>
      <c r="AO78" s="145">
        <f t="shared" si="248"/>
        <v>47785.834264728182</v>
      </c>
      <c r="AP78" s="145">
        <f t="shared" si="248"/>
        <v>18984.739913675592</v>
      </c>
      <c r="AQ78" s="145">
        <f t="shared" si="248"/>
        <v>15210.616666666665</v>
      </c>
      <c r="AR78" s="145">
        <f t="shared" si="248"/>
        <v>12477.034046753637</v>
      </c>
      <c r="AS78" s="145">
        <f t="shared" si="248"/>
        <v>24608.120413340268</v>
      </c>
      <c r="AT78" s="145">
        <f t="shared" si="248"/>
        <v>37205.910555807954</v>
      </c>
      <c r="AU78" s="145">
        <f t="shared" si="248"/>
        <v>33054.759397243688</v>
      </c>
      <c r="AV78" s="145">
        <f t="shared" si="248"/>
        <v>-4675.768552173271</v>
      </c>
      <c r="AW78" s="145">
        <f t="shared" si="248"/>
        <v>19394.508927760126</v>
      </c>
    </row>
    <row r="80" spans="2:49" x14ac:dyDescent="0.3">
      <c r="J80" s="27"/>
      <c r="X80" s="27"/>
      <c r="AL80" s="27"/>
    </row>
    <row r="81" spans="6:49" x14ac:dyDescent="0.3">
      <c r="F81" s="15" t="s">
        <v>65</v>
      </c>
      <c r="G81" s="15"/>
      <c r="H81" s="15"/>
      <c r="I81" s="15"/>
      <c r="J81" s="124">
        <v>0</v>
      </c>
      <c r="K81" s="146">
        <v>0</v>
      </c>
      <c r="L81" s="146">
        <f t="shared" ref="L81:U81" si="249">K86</f>
        <v>49407.707370892007</v>
      </c>
      <c r="M81" s="146">
        <f t="shared" si="249"/>
        <v>53615.128090261984</v>
      </c>
      <c r="N81" s="146">
        <f t="shared" si="249"/>
        <v>76277.561924882641</v>
      </c>
      <c r="O81" s="146">
        <f t="shared" si="249"/>
        <v>81122.945759503258</v>
      </c>
      <c r="P81" s="146">
        <f t="shared" si="249"/>
        <v>79493.425848477971</v>
      </c>
      <c r="Q81" s="146">
        <f t="shared" si="249"/>
        <v>82619.939865861845</v>
      </c>
      <c r="R81" s="146">
        <f t="shared" si="249"/>
        <v>98777.093153869471</v>
      </c>
      <c r="S81" s="146">
        <f t="shared" si="249"/>
        <v>126194.48140845072</v>
      </c>
      <c r="T81" s="146">
        <f t="shared" si="249"/>
        <v>155204.4912759352</v>
      </c>
      <c r="U81" s="146">
        <f t="shared" si="249"/>
        <v>158129.97016431927</v>
      </c>
      <c r="X81" s="146">
        <f>U86</f>
        <v>29866.991359987896</v>
      </c>
      <c r="Y81" s="146">
        <f>X86</f>
        <v>58253.920430107537</v>
      </c>
      <c r="Z81" s="146">
        <f t="shared" ref="Z81" si="250">Y86</f>
        <v>86139.786619718332</v>
      </c>
      <c r="AA81" s="146">
        <f t="shared" ref="AA81" si="251">Z86</f>
        <v>112371.91714372259</v>
      </c>
      <c r="AB81" s="146">
        <f t="shared" ref="AB81" si="252">AA86</f>
        <v>160157.75140845077</v>
      </c>
      <c r="AC81" s="146">
        <f t="shared" ref="AC81" si="253">AB86</f>
        <v>179494.60399818269</v>
      </c>
      <c r="AD81" s="146">
        <f t="shared" ref="AD81" si="254">AC86</f>
        <v>194705.22066484936</v>
      </c>
      <c r="AE81" s="146">
        <f t="shared" ref="AE81" si="255">AD86</f>
        <v>207182.25471160299</v>
      </c>
      <c r="AF81" s="146">
        <f t="shared" ref="AF81" si="256">AE86</f>
        <v>231790.37512494327</v>
      </c>
      <c r="AG81" s="146">
        <f t="shared" ref="AG81" si="257">AF86</f>
        <v>268996.2856807512</v>
      </c>
      <c r="AH81" s="146">
        <f t="shared" ref="AH81" si="258">AG86</f>
        <v>302051.04507799487</v>
      </c>
      <c r="AI81" s="146">
        <f t="shared" ref="AI81" si="259">AH86</f>
        <v>297375.27652582159</v>
      </c>
      <c r="AL81" s="146">
        <f>AI86</f>
        <v>19394.508927760126</v>
      </c>
      <c r="AM81" s="146">
        <f>AL86</f>
        <v>43692.387566257778</v>
      </c>
      <c r="AN81" s="146">
        <f t="shared" ref="AN81" si="260">AM86</f>
        <v>71578.253755868558</v>
      </c>
      <c r="AO81" s="146">
        <f t="shared" ref="AO81" si="261">AN86</f>
        <v>97810.384279872815</v>
      </c>
      <c r="AP81" s="146">
        <f t="shared" ref="AP81" si="262">AO86</f>
        <v>47785.834264728182</v>
      </c>
      <c r="AQ81" s="146">
        <f t="shared" ref="AQ81" si="263">AP86</f>
        <v>66770.574178403767</v>
      </c>
      <c r="AR81" s="146">
        <f t="shared" ref="AR81" si="264">AQ86</f>
        <v>81981.190845070436</v>
      </c>
      <c r="AS81" s="146">
        <f t="shared" ref="AS81" si="265">AR86</f>
        <v>94458.224891824066</v>
      </c>
      <c r="AT81" s="146">
        <f t="shared" ref="AT81" si="266">AS86</f>
        <v>24608.120413340268</v>
      </c>
      <c r="AU81" s="146">
        <f t="shared" ref="AU81" si="267">AT86</f>
        <v>61814.030969148225</v>
      </c>
      <c r="AV81" s="146">
        <f t="shared" ref="AV81" si="268">AU86</f>
        <v>94868.790366391913</v>
      </c>
      <c r="AW81" s="146">
        <f t="shared" ref="AW81" si="269">AV86</f>
        <v>90193.021814218635</v>
      </c>
    </row>
    <row r="82" spans="6:49" x14ac:dyDescent="0.3">
      <c r="F82" t="s">
        <v>62</v>
      </c>
      <c r="J82" s="147">
        <f t="shared" ref="J82:U82" si="270">IF(J78&lt;0,J78,0)</f>
        <v>0</v>
      </c>
      <c r="K82" s="147">
        <f t="shared" si="270"/>
        <v>0</v>
      </c>
      <c r="L82" s="147">
        <f t="shared" si="270"/>
        <v>0</v>
      </c>
      <c r="M82" s="147">
        <f t="shared" si="270"/>
        <v>0</v>
      </c>
      <c r="N82" s="147">
        <f t="shared" si="270"/>
        <v>0</v>
      </c>
      <c r="O82" s="147">
        <f t="shared" si="270"/>
        <v>-1629.519911025287</v>
      </c>
      <c r="P82" s="147">
        <f t="shared" si="270"/>
        <v>0</v>
      </c>
      <c r="Q82" s="147">
        <f t="shared" si="270"/>
        <v>0</v>
      </c>
      <c r="R82" s="147">
        <f t="shared" si="270"/>
        <v>0</v>
      </c>
      <c r="S82" s="147">
        <f t="shared" si="270"/>
        <v>0</v>
      </c>
      <c r="T82" s="147">
        <f t="shared" si="270"/>
        <v>0</v>
      </c>
      <c r="U82" s="147">
        <f t="shared" si="270"/>
        <v>0</v>
      </c>
      <c r="X82" s="147">
        <f t="shared" ref="X82:AI82" si="271">IF(X78&lt;0,X78,0)</f>
        <v>0</v>
      </c>
      <c r="Y82" s="147">
        <f t="shared" si="271"/>
        <v>0</v>
      </c>
      <c r="Z82" s="147">
        <f t="shared" si="271"/>
        <v>0</v>
      </c>
      <c r="AA82" s="147">
        <f t="shared" si="271"/>
        <v>0</v>
      </c>
      <c r="AB82" s="147">
        <f t="shared" si="271"/>
        <v>0</v>
      </c>
      <c r="AC82" s="147">
        <f t="shared" si="271"/>
        <v>0</v>
      </c>
      <c r="AD82" s="147">
        <f t="shared" si="271"/>
        <v>0</v>
      </c>
      <c r="AE82" s="147">
        <f t="shared" si="271"/>
        <v>0</v>
      </c>
      <c r="AF82" s="147">
        <f t="shared" si="271"/>
        <v>0</v>
      </c>
      <c r="AG82" s="147">
        <f t="shared" si="271"/>
        <v>0</v>
      </c>
      <c r="AH82" s="147">
        <f t="shared" si="271"/>
        <v>-4675.768552173271</v>
      </c>
      <c r="AI82" s="147">
        <f t="shared" si="271"/>
        <v>0</v>
      </c>
      <c r="AL82" s="147">
        <f t="shared" ref="AL82:AW82" si="272">IF(AL78&lt;0,AL78,0)</f>
        <v>0</v>
      </c>
      <c r="AM82" s="147">
        <f t="shared" si="272"/>
        <v>0</v>
      </c>
      <c r="AN82" s="147">
        <f t="shared" si="272"/>
        <v>0</v>
      </c>
      <c r="AO82" s="147">
        <f t="shared" si="272"/>
        <v>0</v>
      </c>
      <c r="AP82" s="147">
        <f t="shared" si="272"/>
        <v>0</v>
      </c>
      <c r="AQ82" s="147">
        <f t="shared" si="272"/>
        <v>0</v>
      </c>
      <c r="AR82" s="147">
        <f t="shared" si="272"/>
        <v>0</v>
      </c>
      <c r="AS82" s="147">
        <f t="shared" si="272"/>
        <v>0</v>
      </c>
      <c r="AT82" s="147">
        <f t="shared" si="272"/>
        <v>0</v>
      </c>
      <c r="AU82" s="147">
        <f t="shared" si="272"/>
        <v>0</v>
      </c>
      <c r="AV82" s="147">
        <f t="shared" si="272"/>
        <v>-4675.768552173271</v>
      </c>
      <c r="AW82" s="147">
        <f t="shared" si="272"/>
        <v>0</v>
      </c>
    </row>
    <row r="83" spans="6:49" x14ac:dyDescent="0.3">
      <c r="F83" t="s">
        <v>63</v>
      </c>
      <c r="J83" s="147">
        <f t="shared" ref="J83:U83" si="273">J78+J81</f>
        <v>30000</v>
      </c>
      <c r="K83" s="147">
        <f t="shared" si="273"/>
        <v>49407.707370892007</v>
      </c>
      <c r="L83" s="147">
        <f t="shared" si="273"/>
        <v>53615.128090261984</v>
      </c>
      <c r="M83" s="147">
        <f t="shared" si="273"/>
        <v>76277.561924882641</v>
      </c>
      <c r="N83" s="147">
        <f t="shared" si="273"/>
        <v>81122.945759503258</v>
      </c>
      <c r="O83" s="147">
        <f t="shared" si="273"/>
        <v>79493.425848477971</v>
      </c>
      <c r="P83" s="147">
        <f t="shared" si="273"/>
        <v>82619.939865861845</v>
      </c>
      <c r="Q83" s="147">
        <f t="shared" si="273"/>
        <v>98777.093153869471</v>
      </c>
      <c r="R83" s="147">
        <f t="shared" si="273"/>
        <v>126194.48140845072</v>
      </c>
      <c r="S83" s="147">
        <f t="shared" si="273"/>
        <v>155204.4912759352</v>
      </c>
      <c r="T83" s="147">
        <f t="shared" si="273"/>
        <v>158129.97016431927</v>
      </c>
      <c r="U83" s="147">
        <f t="shared" si="273"/>
        <v>187996.96152430717</v>
      </c>
      <c r="X83" s="147">
        <f t="shared" ref="X83:AI83" si="274">X78+X81</f>
        <v>58253.920430107537</v>
      </c>
      <c r="Y83" s="147">
        <f t="shared" si="274"/>
        <v>86139.786619718332</v>
      </c>
      <c r="Z83" s="147">
        <f t="shared" si="274"/>
        <v>112371.91714372259</v>
      </c>
      <c r="AA83" s="147">
        <f t="shared" si="274"/>
        <v>160157.75140845077</v>
      </c>
      <c r="AB83" s="147">
        <f t="shared" si="274"/>
        <v>179494.60399818269</v>
      </c>
      <c r="AC83" s="147">
        <f t="shared" si="274"/>
        <v>194705.22066484936</v>
      </c>
      <c r="AD83" s="147">
        <f t="shared" si="274"/>
        <v>207182.25471160299</v>
      </c>
      <c r="AE83" s="147">
        <f t="shared" si="274"/>
        <v>231790.37512494327</v>
      </c>
      <c r="AF83" s="147">
        <f t="shared" si="274"/>
        <v>268996.2856807512</v>
      </c>
      <c r="AG83" s="147">
        <f t="shared" si="274"/>
        <v>302051.04507799487</v>
      </c>
      <c r="AH83" s="147">
        <f t="shared" si="274"/>
        <v>297375.27652582159</v>
      </c>
      <c r="AI83" s="147">
        <f t="shared" si="274"/>
        <v>316769.78545358172</v>
      </c>
      <c r="AL83" s="147">
        <f t="shared" ref="AL83:AW83" si="275">AL78+AL81</f>
        <v>43692.387566257778</v>
      </c>
      <c r="AM83" s="147">
        <f t="shared" si="275"/>
        <v>71578.253755868558</v>
      </c>
      <c r="AN83" s="147">
        <f t="shared" si="275"/>
        <v>97810.384279872815</v>
      </c>
      <c r="AO83" s="147">
        <f t="shared" si="275"/>
        <v>145596.218544601</v>
      </c>
      <c r="AP83" s="147">
        <f t="shared" si="275"/>
        <v>66770.574178403767</v>
      </c>
      <c r="AQ83" s="147">
        <f t="shared" si="275"/>
        <v>81981.190845070436</v>
      </c>
      <c r="AR83" s="147">
        <f t="shared" si="275"/>
        <v>94458.224891824066</v>
      </c>
      <c r="AS83" s="147">
        <f t="shared" si="275"/>
        <v>119066.34530516433</v>
      </c>
      <c r="AT83" s="147">
        <f t="shared" si="275"/>
        <v>61814.030969148225</v>
      </c>
      <c r="AU83" s="147">
        <f t="shared" si="275"/>
        <v>94868.790366391913</v>
      </c>
      <c r="AV83" s="147">
        <f t="shared" si="275"/>
        <v>90193.021814218635</v>
      </c>
      <c r="AW83" s="147">
        <f t="shared" si="275"/>
        <v>109587.53074197876</v>
      </c>
    </row>
    <row r="84" spans="6:49" x14ac:dyDescent="0.3">
      <c r="F84" t="s">
        <v>73</v>
      </c>
      <c r="J84" s="147">
        <f>IF(J83&lt;0,-J83,0)</f>
        <v>0</v>
      </c>
      <c r="K84" s="147">
        <f>IF(K83&lt;0,-K83,0)</f>
        <v>0</v>
      </c>
      <c r="L84" s="147">
        <f>IF(L83&lt;0,-L83,0)</f>
        <v>0</v>
      </c>
      <c r="M84" s="147">
        <f t="shared" ref="M84:U84" si="276">IF(M83&lt;0,-M83,0)</f>
        <v>0</v>
      </c>
      <c r="N84" s="147">
        <f t="shared" si="276"/>
        <v>0</v>
      </c>
      <c r="O84" s="147">
        <f t="shared" si="276"/>
        <v>0</v>
      </c>
      <c r="P84" s="147">
        <f t="shared" si="276"/>
        <v>0</v>
      </c>
      <c r="Q84" s="147">
        <f t="shared" si="276"/>
        <v>0</v>
      </c>
      <c r="R84" s="147">
        <f t="shared" si="276"/>
        <v>0</v>
      </c>
      <c r="S84" s="147">
        <f t="shared" si="276"/>
        <v>0</v>
      </c>
      <c r="T84" s="147">
        <f t="shared" si="276"/>
        <v>0</v>
      </c>
      <c r="U84" s="147">
        <f t="shared" si="276"/>
        <v>0</v>
      </c>
      <c r="X84" s="147">
        <f>IF(X83&lt;0,-X83,0)</f>
        <v>0</v>
      </c>
      <c r="Y84" s="147">
        <f>IF(Y83&lt;0,-Y83,0)</f>
        <v>0</v>
      </c>
      <c r="Z84" s="147">
        <f>IF(Z83&lt;0,-Z83,0)</f>
        <v>0</v>
      </c>
      <c r="AA84" s="147">
        <f t="shared" ref="AA84" si="277">IF(AA83&lt;0,-AA83,0)</f>
        <v>0</v>
      </c>
      <c r="AB84" s="147">
        <f t="shared" ref="AB84" si="278">IF(AB83&lt;0,-AB83,0)</f>
        <v>0</v>
      </c>
      <c r="AC84" s="147">
        <f t="shared" ref="AC84" si="279">IF(AC83&lt;0,-AC83,0)</f>
        <v>0</v>
      </c>
      <c r="AD84" s="147">
        <f t="shared" ref="AD84" si="280">IF(AD83&lt;0,-AD83,0)</f>
        <v>0</v>
      </c>
      <c r="AE84" s="147">
        <f t="shared" ref="AE84" si="281">IF(AE83&lt;0,-AE83,0)</f>
        <v>0</v>
      </c>
      <c r="AF84" s="147">
        <f t="shared" ref="AF84" si="282">IF(AF83&lt;0,-AF83,0)</f>
        <v>0</v>
      </c>
      <c r="AG84" s="147">
        <f t="shared" ref="AG84" si="283">IF(AG83&lt;0,-AG83,0)</f>
        <v>0</v>
      </c>
      <c r="AH84" s="147">
        <f t="shared" ref="AH84" si="284">IF(AH83&lt;0,-AH83,0)</f>
        <v>0</v>
      </c>
      <c r="AI84" s="147">
        <f t="shared" ref="AI84" si="285">IF(AI83&lt;0,-AI83,0)</f>
        <v>0</v>
      </c>
      <c r="AL84" s="147">
        <f>IF(AL83&lt;0,-AL83,0)</f>
        <v>0</v>
      </c>
      <c r="AM84" s="147">
        <f>IF(AM83&lt;0,-AM83,0)</f>
        <v>0</v>
      </c>
      <c r="AN84" s="147">
        <f>IF(AN83&lt;0,-AN83,0)</f>
        <v>0</v>
      </c>
      <c r="AO84" s="147">
        <f t="shared" ref="AO84" si="286">IF(AO83&lt;0,-AO83,0)</f>
        <v>0</v>
      </c>
      <c r="AP84" s="147">
        <f t="shared" ref="AP84" si="287">IF(AP83&lt;0,-AP83,0)</f>
        <v>0</v>
      </c>
      <c r="AQ84" s="147">
        <f t="shared" ref="AQ84" si="288">IF(AQ83&lt;0,-AQ83,0)</f>
        <v>0</v>
      </c>
      <c r="AR84" s="147">
        <f t="shared" ref="AR84" si="289">IF(AR83&lt;0,-AR83,0)</f>
        <v>0</v>
      </c>
      <c r="AS84" s="147">
        <f t="shared" ref="AS84" si="290">IF(AS83&lt;0,-AS83,0)</f>
        <v>0</v>
      </c>
      <c r="AT84" s="147">
        <f t="shared" ref="AT84" si="291">IF(AT83&lt;0,-AT83,0)</f>
        <v>0</v>
      </c>
      <c r="AU84" s="147">
        <f t="shared" ref="AU84" si="292">IF(AU83&lt;0,-AU83,0)</f>
        <v>0</v>
      </c>
      <c r="AV84" s="147">
        <f t="shared" ref="AV84" si="293">IF(AV83&lt;0,-AV83,0)</f>
        <v>0</v>
      </c>
      <c r="AW84" s="147">
        <f t="shared" ref="AW84" si="294">IF(AW83&lt;0,-AW83,0)</f>
        <v>0</v>
      </c>
    </row>
    <row r="85" spans="6:49" x14ac:dyDescent="0.3">
      <c r="F85" t="s">
        <v>74</v>
      </c>
      <c r="J85" s="34" t="s">
        <v>75</v>
      </c>
      <c r="K85" s="34" t="s">
        <v>75</v>
      </c>
      <c r="L85" s="34" t="s">
        <v>75</v>
      </c>
      <c r="M85" s="34" t="s">
        <v>77</v>
      </c>
      <c r="N85" s="34" t="s">
        <v>75</v>
      </c>
      <c r="O85" s="34" t="s">
        <v>75</v>
      </c>
      <c r="P85" s="34" t="s">
        <v>75</v>
      </c>
      <c r="Q85" s="34" t="s">
        <v>75</v>
      </c>
      <c r="R85" s="34" t="s">
        <v>75</v>
      </c>
      <c r="S85" s="34" t="s">
        <v>75</v>
      </c>
      <c r="T85" s="34" t="s">
        <v>75</v>
      </c>
      <c r="U85" s="34" t="s">
        <v>76</v>
      </c>
      <c r="X85" s="34" t="s">
        <v>75</v>
      </c>
      <c r="Y85" s="34" t="s">
        <v>75</v>
      </c>
      <c r="Z85" s="34" t="s">
        <v>75</v>
      </c>
      <c r="AA85" s="34" t="s">
        <v>75</v>
      </c>
      <c r="AB85" s="34" t="s">
        <v>75</v>
      </c>
      <c r="AC85" s="34" t="s">
        <v>75</v>
      </c>
      <c r="AD85" s="34" t="s">
        <v>75</v>
      </c>
      <c r="AE85" s="34" t="s">
        <v>75</v>
      </c>
      <c r="AF85" s="34" t="s">
        <v>75</v>
      </c>
      <c r="AG85" s="34" t="s">
        <v>75</v>
      </c>
      <c r="AH85" s="34" t="s">
        <v>75</v>
      </c>
      <c r="AI85" s="34" t="s">
        <v>76</v>
      </c>
      <c r="AL85" s="34" t="s">
        <v>75</v>
      </c>
      <c r="AM85" s="34" t="s">
        <v>75</v>
      </c>
      <c r="AN85" s="34" t="s">
        <v>75</v>
      </c>
      <c r="AO85" s="34" t="s">
        <v>76</v>
      </c>
      <c r="AP85" s="34" t="s">
        <v>75</v>
      </c>
      <c r="AQ85" s="34" t="s">
        <v>75</v>
      </c>
      <c r="AR85" s="34" t="s">
        <v>75</v>
      </c>
      <c r="AS85" s="34" t="s">
        <v>76</v>
      </c>
      <c r="AT85" s="34" t="s">
        <v>75</v>
      </c>
      <c r="AU85" s="34" t="s">
        <v>75</v>
      </c>
      <c r="AV85" s="34" t="s">
        <v>75</v>
      </c>
      <c r="AW85" s="34" t="s">
        <v>76</v>
      </c>
    </row>
    <row r="86" spans="6:49" x14ac:dyDescent="0.3">
      <c r="F86" s="28" t="s">
        <v>64</v>
      </c>
      <c r="G86" s="28"/>
      <c r="H86" s="28"/>
      <c r="I86" s="28"/>
      <c r="J86" s="148">
        <f>IF(J85="NO",J83+J84,J78)</f>
        <v>30000</v>
      </c>
      <c r="K86" s="148">
        <f t="shared" ref="K86:U86" si="295">IF(K85="NO",K83+K84,K78)</f>
        <v>49407.707370892007</v>
      </c>
      <c r="L86" s="148">
        <f t="shared" si="295"/>
        <v>53615.128090261984</v>
      </c>
      <c r="M86" s="148">
        <f t="shared" si="295"/>
        <v>76277.561924882641</v>
      </c>
      <c r="N86" s="148">
        <f t="shared" si="295"/>
        <v>81122.945759503258</v>
      </c>
      <c r="O86" s="148">
        <f t="shared" si="295"/>
        <v>79493.425848477971</v>
      </c>
      <c r="P86" s="148">
        <f t="shared" si="295"/>
        <v>82619.939865861845</v>
      </c>
      <c r="Q86" s="148">
        <f t="shared" si="295"/>
        <v>98777.093153869471</v>
      </c>
      <c r="R86" s="148">
        <f t="shared" si="295"/>
        <v>126194.48140845072</v>
      </c>
      <c r="S86" s="148">
        <f t="shared" si="295"/>
        <v>155204.4912759352</v>
      </c>
      <c r="T86" s="148">
        <f t="shared" si="295"/>
        <v>158129.97016431927</v>
      </c>
      <c r="U86" s="148">
        <f t="shared" si="295"/>
        <v>29866.991359987896</v>
      </c>
      <c r="X86" s="148">
        <f>IF(X85="NO",X83+X84,X78)</f>
        <v>58253.920430107537</v>
      </c>
      <c r="Y86" s="148">
        <f t="shared" ref="Y86" si="296">IF(Y85="NO",Y83+Y84,Y78)</f>
        <v>86139.786619718332</v>
      </c>
      <c r="Z86" s="148">
        <f t="shared" ref="Z86" si="297">IF(Z85="NO",Z83+Z84,Z78)</f>
        <v>112371.91714372259</v>
      </c>
      <c r="AA86" s="148">
        <f t="shared" ref="AA86" si="298">IF(AA85="NO",AA83+AA84,AA78)</f>
        <v>160157.75140845077</v>
      </c>
      <c r="AB86" s="148">
        <f t="shared" ref="AB86" si="299">IF(AB85="NO",AB83+AB84,AB78)</f>
        <v>179494.60399818269</v>
      </c>
      <c r="AC86" s="148">
        <f t="shared" ref="AC86" si="300">IF(AC85="NO",AC83+AC84,AC78)</f>
        <v>194705.22066484936</v>
      </c>
      <c r="AD86" s="148">
        <f t="shared" ref="AD86" si="301">IF(AD85="NO",AD83+AD84,AD78)</f>
        <v>207182.25471160299</v>
      </c>
      <c r="AE86" s="148">
        <f t="shared" ref="AE86" si="302">IF(AE85="NO",AE83+AE84,AE78)</f>
        <v>231790.37512494327</v>
      </c>
      <c r="AF86" s="148">
        <f t="shared" ref="AF86" si="303">IF(AF85="NO",AF83+AF84,AF78)</f>
        <v>268996.2856807512</v>
      </c>
      <c r="AG86" s="148">
        <f t="shared" ref="AG86" si="304">IF(AG85="NO",AG83+AG84,AG78)</f>
        <v>302051.04507799487</v>
      </c>
      <c r="AH86" s="148">
        <f t="shared" ref="AH86" si="305">IF(AH85="NO",AH83+AH84,AH78)</f>
        <v>297375.27652582159</v>
      </c>
      <c r="AI86" s="148">
        <f t="shared" ref="AI86" si="306">IF(AI85="NO",AI83+AI84,AI78)</f>
        <v>19394.508927760126</v>
      </c>
      <c r="AL86" s="148">
        <f>IF(AL85="NO",AL83+AL84,AL78)</f>
        <v>43692.387566257778</v>
      </c>
      <c r="AM86" s="148">
        <f t="shared" ref="AM86" si="307">IF(AM85="NO",AM83+AM84,AM78)</f>
        <v>71578.253755868558</v>
      </c>
      <c r="AN86" s="148">
        <f t="shared" ref="AN86" si="308">IF(AN85="NO",AN83+AN84,AN78)</f>
        <v>97810.384279872815</v>
      </c>
      <c r="AO86" s="148">
        <f t="shared" ref="AO86" si="309">IF(AO85="NO",AO83+AO84,AO78)</f>
        <v>47785.834264728182</v>
      </c>
      <c r="AP86" s="148">
        <f t="shared" ref="AP86" si="310">IF(AP85="NO",AP83+AP84,AP78)</f>
        <v>66770.574178403767</v>
      </c>
      <c r="AQ86" s="148">
        <f t="shared" ref="AQ86" si="311">IF(AQ85="NO",AQ83+AQ84,AQ78)</f>
        <v>81981.190845070436</v>
      </c>
      <c r="AR86" s="148">
        <f t="shared" ref="AR86" si="312">IF(AR85="NO",AR83+AR84,AR78)</f>
        <v>94458.224891824066</v>
      </c>
      <c r="AS86" s="148">
        <f t="shared" ref="AS86" si="313">IF(AS85="NO",AS83+AS84,AS78)</f>
        <v>24608.120413340268</v>
      </c>
      <c r="AT86" s="148">
        <f t="shared" ref="AT86" si="314">IF(AT85="NO",AT83+AT84,AT78)</f>
        <v>61814.030969148225</v>
      </c>
      <c r="AU86" s="148">
        <f t="shared" ref="AU86" si="315">IF(AU85="NO",AU83+AU84,AU78)</f>
        <v>94868.790366391913</v>
      </c>
      <c r="AV86" s="148">
        <f t="shared" ref="AV86" si="316">IF(AV85="NO",AV83+AV84,AV78)</f>
        <v>90193.021814218635</v>
      </c>
      <c r="AW86" s="148">
        <f t="shared" ref="AW86" si="317">IF(AW85="NO",AW83+AW84,AW78)</f>
        <v>19394.508927760126</v>
      </c>
    </row>
    <row r="87" spans="6:49" x14ac:dyDescent="0.3">
      <c r="F87" s="35" t="s">
        <v>78</v>
      </c>
      <c r="J87" s="147">
        <f>(J83+J84)-J86</f>
        <v>0</v>
      </c>
      <c r="K87" s="147">
        <f>(K83+K84)-K86</f>
        <v>0</v>
      </c>
      <c r="L87" s="147">
        <f>(L83+L84)-L86</f>
        <v>0</v>
      </c>
      <c r="M87" s="147">
        <f>M83-M86</f>
        <v>0</v>
      </c>
      <c r="N87" s="147">
        <f>N83-N86</f>
        <v>0</v>
      </c>
      <c r="O87" s="147">
        <f>O83-O86</f>
        <v>0</v>
      </c>
      <c r="P87" s="147">
        <f>IF(P85="Si",P83-P86,0)</f>
        <v>0</v>
      </c>
      <c r="Q87" s="147">
        <f>Q83-Q86</f>
        <v>0</v>
      </c>
      <c r="R87" s="147">
        <f>R83-R86</f>
        <v>0</v>
      </c>
      <c r="S87" s="147">
        <f>S83-S86</f>
        <v>0</v>
      </c>
      <c r="T87" s="147">
        <f>T83-T86</f>
        <v>0</v>
      </c>
      <c r="U87" s="147">
        <f>U83-U86</f>
        <v>158129.97016431927</v>
      </c>
      <c r="X87" s="147">
        <f>(X83+X84)-X86</f>
        <v>0</v>
      </c>
      <c r="Y87" s="147">
        <f>(Y83+Y84)-Y86</f>
        <v>0</v>
      </c>
      <c r="Z87" s="147">
        <f>(Z83+Z84)-Z86</f>
        <v>0</v>
      </c>
      <c r="AA87" s="147">
        <f>AA83-AA86</f>
        <v>0</v>
      </c>
      <c r="AB87" s="147">
        <f>AB83-AB86</f>
        <v>0</v>
      </c>
      <c r="AC87" s="147">
        <f>AC83-AC86</f>
        <v>0</v>
      </c>
      <c r="AD87" s="147">
        <f>IF(AD85="Si",AD83-AD86,0)</f>
        <v>0</v>
      </c>
      <c r="AE87" s="147">
        <f>AE83-AE86</f>
        <v>0</v>
      </c>
      <c r="AF87" s="147">
        <f>AF83-AF86</f>
        <v>0</v>
      </c>
      <c r="AG87" s="147">
        <f>AG83-AG86</f>
        <v>0</v>
      </c>
      <c r="AH87" s="147">
        <f>AH83-AH86</f>
        <v>0</v>
      </c>
      <c r="AI87" s="147">
        <f>AI83-AI86</f>
        <v>297375.27652582159</v>
      </c>
      <c r="AL87" s="147">
        <f>(AL83+AL84)-AL86</f>
        <v>0</v>
      </c>
      <c r="AM87" s="147">
        <f>(AM83+AM84)-AM86</f>
        <v>0</v>
      </c>
      <c r="AN87" s="147">
        <f>(AN83+AN84)-AN86</f>
        <v>0</v>
      </c>
      <c r="AO87" s="147">
        <f>AO83-AO86</f>
        <v>97810.384279872815</v>
      </c>
      <c r="AP87" s="147">
        <f>AP83-AP86</f>
        <v>0</v>
      </c>
      <c r="AQ87" s="147">
        <f>AQ83-AQ86</f>
        <v>0</v>
      </c>
      <c r="AR87" s="147">
        <f>IF(AR85="Si",AR83-AR86,0)</f>
        <v>0</v>
      </c>
      <c r="AS87" s="147">
        <f>AS83-AS86</f>
        <v>94458.224891824066</v>
      </c>
      <c r="AT87" s="147">
        <f>AT83-AT86</f>
        <v>0</v>
      </c>
      <c r="AU87" s="147">
        <f>AU83-AU86</f>
        <v>0</v>
      </c>
      <c r="AV87" s="147">
        <f>AV83-AV86</f>
        <v>0</v>
      </c>
      <c r="AW87" s="147">
        <f>AW83-AW86</f>
        <v>90193.021814218635</v>
      </c>
    </row>
    <row r="88" spans="6:49" x14ac:dyDescent="0.3">
      <c r="J88" s="4" t="str">
        <f t="shared" ref="J88:O88" si="318">IF(J87&gt;0,"REPARTIJA","")</f>
        <v/>
      </c>
      <c r="K88" s="4" t="str">
        <f t="shared" si="318"/>
        <v/>
      </c>
      <c r="L88" s="4" t="str">
        <f t="shared" si="318"/>
        <v/>
      </c>
      <c r="M88" s="4" t="str">
        <f t="shared" si="318"/>
        <v/>
      </c>
      <c r="N88" s="4" t="str">
        <f t="shared" si="318"/>
        <v/>
      </c>
      <c r="O88" s="4" t="str">
        <f t="shared" si="318"/>
        <v/>
      </c>
      <c r="P88" s="4" t="str">
        <f>IF(P87&gt;0,"REPARTIJA","")</f>
        <v/>
      </c>
      <c r="Q88" s="4" t="str">
        <f t="shared" ref="Q88:U88" si="319">IF(Q87&gt;0,"REPARTIJA","")</f>
        <v/>
      </c>
      <c r="R88" s="4" t="str">
        <f t="shared" si="319"/>
        <v/>
      </c>
      <c r="S88" s="4" t="str">
        <f t="shared" si="319"/>
        <v/>
      </c>
      <c r="T88" s="4" t="str">
        <f t="shared" si="319"/>
        <v/>
      </c>
      <c r="U88" s="149" t="str">
        <f t="shared" si="319"/>
        <v>REPARTIJA</v>
      </c>
      <c r="X88" s="4" t="str">
        <f t="shared" ref="X88" si="320">IF(X87&gt;0,"REPARTIJA","")</f>
        <v/>
      </c>
      <c r="Y88" s="4" t="str">
        <f t="shared" ref="Y88" si="321">IF(Y87&gt;0,"REPARTIJA","")</f>
        <v/>
      </c>
      <c r="Z88" s="4" t="str">
        <f t="shared" ref="Z88" si="322">IF(Z87&gt;0,"REPARTIJA","")</f>
        <v/>
      </c>
      <c r="AA88" s="4" t="str">
        <f t="shared" ref="AA88" si="323">IF(AA87&gt;0,"REPARTIJA","")</f>
        <v/>
      </c>
      <c r="AB88" s="4" t="str">
        <f t="shared" ref="AB88" si="324">IF(AB87&gt;0,"REPARTIJA","")</f>
        <v/>
      </c>
      <c r="AC88" s="4" t="str">
        <f t="shared" ref="AC88" si="325">IF(AC87&gt;0,"REPARTIJA","")</f>
        <v/>
      </c>
      <c r="AD88" s="4" t="str">
        <f>IF(AD87&gt;0,"REPARTIJA","")</f>
        <v/>
      </c>
      <c r="AE88" s="4" t="str">
        <f t="shared" ref="AE88" si="326">IF(AE87&gt;0,"REPARTIJA","")</f>
        <v/>
      </c>
      <c r="AF88" s="4" t="str">
        <f t="shared" ref="AF88" si="327">IF(AF87&gt;0,"REPARTIJA","")</f>
        <v/>
      </c>
      <c r="AG88" s="4" t="str">
        <f t="shared" ref="AG88" si="328">IF(AG87&gt;0,"REPARTIJA","")</f>
        <v/>
      </c>
      <c r="AH88" s="4" t="str">
        <f t="shared" ref="AH88" si="329">IF(AH87&gt;0,"REPARTIJA","")</f>
        <v/>
      </c>
      <c r="AI88" s="149" t="str">
        <f t="shared" ref="AI88" si="330">IF(AI87&gt;0,"REPARTIJA","")</f>
        <v>REPARTIJA</v>
      </c>
      <c r="AL88" s="4" t="str">
        <f t="shared" ref="AL88" si="331">IF(AL87&gt;0,"REPARTIJA","")</f>
        <v/>
      </c>
      <c r="AM88" s="4" t="str">
        <f t="shared" ref="AM88" si="332">IF(AM87&gt;0,"REPARTIJA","")</f>
        <v/>
      </c>
      <c r="AN88" s="4" t="str">
        <f t="shared" ref="AN88" si="333">IF(AN87&gt;0,"REPARTIJA","")</f>
        <v/>
      </c>
      <c r="AO88" s="149" t="str">
        <f t="shared" ref="AO88" si="334">IF(AO87&gt;0,"REPARTIJA","")</f>
        <v>REPARTIJA</v>
      </c>
      <c r="AP88" s="4" t="str">
        <f t="shared" ref="AP88" si="335">IF(AP87&gt;0,"REPARTIJA","")</f>
        <v/>
      </c>
      <c r="AQ88" s="4" t="str">
        <f t="shared" ref="AQ88" si="336">IF(AQ87&gt;0,"REPARTIJA","")</f>
        <v/>
      </c>
      <c r="AR88" s="4" t="str">
        <f>IF(AR87&gt;0,"REPARTIJA","")</f>
        <v/>
      </c>
      <c r="AS88" s="149" t="str">
        <f t="shared" ref="AS88" si="337">IF(AS87&gt;0,"REPARTIJA","")</f>
        <v>REPARTIJA</v>
      </c>
      <c r="AT88" s="4" t="str">
        <f t="shared" ref="AT88" si="338">IF(AT87&gt;0,"REPARTIJA","")</f>
        <v/>
      </c>
      <c r="AU88" s="4" t="str">
        <f t="shared" ref="AU88" si="339">IF(AU87&gt;0,"REPARTIJA","")</f>
        <v/>
      </c>
      <c r="AV88" s="4" t="str">
        <f t="shared" ref="AV88" si="340">IF(AV87&gt;0,"REPARTIJA","")</f>
        <v/>
      </c>
      <c r="AW88" s="149" t="str">
        <f t="shared" ref="AW88" si="341">IF(AW87&gt;0,"REPARTIJA","")</f>
        <v>REPARTIJA</v>
      </c>
    </row>
    <row r="91" spans="6:49" x14ac:dyDescent="0.3">
      <c r="F91" t="s">
        <v>71</v>
      </c>
      <c r="J91" s="135">
        <f>J30/J58</f>
        <v>0</v>
      </c>
      <c r="K91" s="135">
        <f>K30/K58</f>
        <v>2763.262910798122</v>
      </c>
      <c r="L91" s="135">
        <f>L30/L58+K91</f>
        <v>5526.525821596244</v>
      </c>
      <c r="M91" s="135">
        <f>M30/M58+L91</f>
        <v>8571.4788732394372</v>
      </c>
      <c r="N91" s="136">
        <f>N30/N58+M91</f>
        <v>11616.431924882629</v>
      </c>
      <c r="O91" s="135">
        <f>O30/O58</f>
        <v>2763.262910798122</v>
      </c>
      <c r="P91" s="135">
        <f>P30/P58+O91</f>
        <v>5526.525821596244</v>
      </c>
      <c r="Q91" s="135">
        <f>Q30/Q58+P91</f>
        <v>8571.4788732394372</v>
      </c>
      <c r="R91" s="135">
        <f>R30/R58+Q91</f>
        <v>11616.431924882629</v>
      </c>
      <c r="S91" s="135">
        <f>S30/S58+R91</f>
        <v>14661.38497652582</v>
      </c>
      <c r="T91" s="135">
        <f>T30/T58+S91</f>
        <v>17706.338028169012</v>
      </c>
      <c r="U91" s="150">
        <f>U30/U58</f>
        <v>3573.1220657276995</v>
      </c>
      <c r="X91" s="135">
        <f>X30/X58+U91</f>
        <v>7498.3568075117364</v>
      </c>
      <c r="Y91" s="135">
        <f>Y30/Y58+X91</f>
        <v>11423.591549295774</v>
      </c>
      <c r="Z91" s="135">
        <f>Z30/Z58+Y91</f>
        <v>15348.826291079811</v>
      </c>
      <c r="AA91" s="135">
        <f>AA30/AA58+Z91</f>
        <v>19274.06103286385</v>
      </c>
      <c r="AB91" s="136">
        <f>AB30/AB58+AA91</f>
        <v>23199.295774647886</v>
      </c>
      <c r="AC91" s="135">
        <f>AC30/AC58</f>
        <v>3925.2347417840374</v>
      </c>
      <c r="AD91" s="135">
        <f>AD30/AD58+AC91</f>
        <v>7850.4694835680748</v>
      </c>
      <c r="AE91" s="135">
        <f>AE30/AE58+AD91</f>
        <v>11775.704225352112</v>
      </c>
      <c r="AF91" s="135">
        <f>AF30/AF58+AE91</f>
        <v>15700.93896713615</v>
      </c>
      <c r="AG91" s="135">
        <f>AG30/AG58+AF91</f>
        <v>19626.173708920185</v>
      </c>
      <c r="AH91" s="135">
        <f>AH30/AH58+AG91</f>
        <v>23551.408450704221</v>
      </c>
      <c r="AI91" s="150">
        <f>AI30/AI58</f>
        <v>3925.2347417840374</v>
      </c>
      <c r="AL91" s="135">
        <f>AL30/AL58+AI91</f>
        <v>7850.4694835680748</v>
      </c>
      <c r="AM91" s="135">
        <f>AM30/AM58+AL91</f>
        <v>11775.704225352112</v>
      </c>
      <c r="AN91" s="135">
        <f>AN30/AN58+AM91</f>
        <v>15700.93896713615</v>
      </c>
      <c r="AO91" s="135">
        <f>AO30/AO58+AN91</f>
        <v>19626.173708920185</v>
      </c>
      <c r="AP91" s="136">
        <f>AP30/AP58+AO91</f>
        <v>23551.408450704221</v>
      </c>
      <c r="AQ91" s="135">
        <f>AQ30/AQ58</f>
        <v>3925.2347417840374</v>
      </c>
      <c r="AR91" s="135">
        <f>AR30/AR58+AQ91</f>
        <v>7850.4694835680748</v>
      </c>
      <c r="AS91" s="135">
        <f>AS30/AS58+AR91</f>
        <v>11775.704225352112</v>
      </c>
      <c r="AT91" s="135">
        <f>AT30/AT58+AS91</f>
        <v>15700.93896713615</v>
      </c>
      <c r="AU91" s="135">
        <f>AU30/AU58+AT91</f>
        <v>19626.173708920185</v>
      </c>
      <c r="AV91" s="135">
        <f>AV30/AV58+AU91</f>
        <v>23551.408450704221</v>
      </c>
      <c r="AW91" s="150">
        <f>AW30/AW58</f>
        <v>3925.2347417840374</v>
      </c>
    </row>
    <row r="92" spans="6:49" x14ac:dyDescent="0.3">
      <c r="F92" t="s">
        <v>68</v>
      </c>
      <c r="J92" s="135">
        <f>-J76</f>
        <v>0</v>
      </c>
      <c r="K92" s="135">
        <f>-K76</f>
        <v>187.743333333333</v>
      </c>
      <c r="L92" s="135">
        <f t="shared" ref="L92:M92" si="342">-L76+K92</f>
        <v>266.55877934272286</v>
      </c>
      <c r="M92" s="135">
        <f t="shared" si="342"/>
        <v>1582.8178873239435</v>
      </c>
      <c r="N92" s="135">
        <f>-N76+M92</f>
        <v>2017.8692488262914</v>
      </c>
      <c r="O92" s="135">
        <f>-O76+N92</f>
        <v>1605.7724061032868</v>
      </c>
      <c r="P92" s="135">
        <f t="shared" ref="P92:T92" si="343">-P76+O92</f>
        <v>1645.1545422535216</v>
      </c>
      <c r="Q92" s="135">
        <f t="shared" si="343"/>
        <v>2712.6419248826301</v>
      </c>
      <c r="R92" s="135">
        <f t="shared" si="343"/>
        <v>4061.2021596244144</v>
      </c>
      <c r="S92" s="135">
        <f t="shared" si="343"/>
        <v>5483.6188028169036</v>
      </c>
      <c r="T92" s="135">
        <f t="shared" si="343"/>
        <v>6090.9035446009411</v>
      </c>
      <c r="U92" s="135">
        <f>-U76+T92</f>
        <v>7626.8826525821623</v>
      </c>
      <c r="X92" s="135">
        <f>-X76</f>
        <v>1163.2833333333335</v>
      </c>
      <c r="Y92" s="135">
        <f t="shared" ref="Y92:AA92" si="344">-Y76+X92</f>
        <v>2641.3258215962451</v>
      </c>
      <c r="Z92" s="135">
        <f t="shared" si="344"/>
        <v>3937.8218309859167</v>
      </c>
      <c r="AA92" s="135">
        <f t="shared" si="344"/>
        <v>7040.3516431924891</v>
      </c>
      <c r="AB92" s="135">
        <f>-AB76+AA92</f>
        <v>8787.1772300469511</v>
      </c>
      <c r="AC92" s="135">
        <f>-AC76+AB92</f>
        <v>8949.0077464788756</v>
      </c>
      <c r="AD92" s="135">
        <f t="shared" ref="AD92:AH92" si="345">-AD76+AC92</f>
        <v>9484.5410798122102</v>
      </c>
      <c r="AE92" s="135">
        <f t="shared" si="345"/>
        <v>11356.916666666672</v>
      </c>
      <c r="AF92" s="135">
        <f t="shared" si="345"/>
        <v>13236.365492957753</v>
      </c>
      <c r="AG92" s="135">
        <f t="shared" si="345"/>
        <v>14878.271361502357</v>
      </c>
      <c r="AH92" s="135">
        <f t="shared" si="345"/>
        <v>15321.263145539915</v>
      </c>
      <c r="AI92" s="135">
        <f>-AI76+AH92</f>
        <v>16628.369014084517</v>
      </c>
      <c r="AL92" s="135">
        <f>-AL76</f>
        <v>1163.2833333333335</v>
      </c>
      <c r="AM92" s="135">
        <f t="shared" ref="AM92:AO92" si="346">-AM76+AL92</f>
        <v>2641.3258215962451</v>
      </c>
      <c r="AN92" s="135">
        <f t="shared" si="346"/>
        <v>3937.8218309859167</v>
      </c>
      <c r="AO92" s="135">
        <f t="shared" si="346"/>
        <v>7040.3516431924891</v>
      </c>
      <c r="AP92" s="135">
        <f>-AP76+AO92</f>
        <v>8787.1772300469511</v>
      </c>
      <c r="AQ92" s="135">
        <f>-AQ76+AP92</f>
        <v>8949.0077464788756</v>
      </c>
      <c r="AR92" s="135">
        <f t="shared" ref="AR92:AV92" si="347">-AR76+AQ92</f>
        <v>9484.5410798122102</v>
      </c>
      <c r="AS92" s="135">
        <f t="shared" si="347"/>
        <v>11356.916666666672</v>
      </c>
      <c r="AT92" s="135">
        <f t="shared" si="347"/>
        <v>13236.365492957753</v>
      </c>
      <c r="AU92" s="135">
        <f t="shared" si="347"/>
        <v>14878.271361502357</v>
      </c>
      <c r="AV92" s="135">
        <f t="shared" si="347"/>
        <v>15321.263145539915</v>
      </c>
      <c r="AW92" s="135">
        <f>-AW76+AV92</f>
        <v>16628.369014084517</v>
      </c>
    </row>
    <row r="93" spans="6:49" x14ac:dyDescent="0.3">
      <c r="F93" t="s">
        <v>47</v>
      </c>
      <c r="J93" s="135">
        <f>-J77</f>
        <v>0</v>
      </c>
      <c r="K93" s="135">
        <f>-K77</f>
        <v>0</v>
      </c>
      <c r="L93" s="135">
        <f>-L77+K93</f>
        <v>0</v>
      </c>
      <c r="M93" s="135">
        <f>-M77+L93</f>
        <v>0</v>
      </c>
      <c r="N93" s="135">
        <f>-N77+M93</f>
        <v>0</v>
      </c>
      <c r="O93" s="135">
        <f>-O77+N93</f>
        <v>0</v>
      </c>
      <c r="P93" s="135">
        <f>-P77+O93</f>
        <v>0</v>
      </c>
      <c r="Q93" s="135">
        <f>-Q77+P93</f>
        <v>0</v>
      </c>
      <c r="R93" s="135">
        <f>-R77+Q93</f>
        <v>0</v>
      </c>
      <c r="S93" s="135">
        <f>-S77+R93</f>
        <v>0</v>
      </c>
      <c r="T93" s="135">
        <f>-T77+S93</f>
        <v>0</v>
      </c>
      <c r="U93" s="203">
        <f>-U77+T93</f>
        <v>0</v>
      </c>
      <c r="X93" s="135">
        <f>-X77</f>
        <v>2666.2183098591549</v>
      </c>
      <c r="Y93" s="135">
        <f>-Y77+X93</f>
        <v>5507.3028169014087</v>
      </c>
      <c r="Z93" s="135">
        <f>-Z77+Y93</f>
        <v>8247.5281690140837</v>
      </c>
      <c r="AA93" s="135">
        <f>-AA77+Z93</f>
        <v>11991.105633802816</v>
      </c>
      <c r="AB93" s="135">
        <f>-AB77+AA93</f>
        <v>14981.514084507042</v>
      </c>
      <c r="AC93" s="135">
        <f>-AC77+AB93</f>
        <v>17091.369718309859</v>
      </c>
      <c r="AD93" s="135">
        <f>-AD77+AC93</f>
        <v>19408.838028169015</v>
      </c>
      <c r="AE93" s="135">
        <f>-AE77+AD93</f>
        <v>22468.99647887324</v>
      </c>
      <c r="AF93" s="135">
        <f>-AF77+AE93</f>
        <v>25533.084507042255</v>
      </c>
      <c r="AG93" s="135">
        <f>-AG77+AF93</f>
        <v>28465.204225352114</v>
      </c>
      <c r="AH93" s="135">
        <f>-AH77+AG93</f>
        <v>30731.260563380281</v>
      </c>
      <c r="AI93" s="203">
        <f>-AI77+AH93</f>
        <v>33477.380281690144</v>
      </c>
      <c r="AL93" s="135">
        <f>-AL77</f>
        <v>2666.2183098591549</v>
      </c>
      <c r="AM93" s="135">
        <f>-AM77+AL93</f>
        <v>5507.3028169014087</v>
      </c>
      <c r="AN93" s="135">
        <f>-AN77+AM93</f>
        <v>8247.5281690140837</v>
      </c>
      <c r="AO93" s="135">
        <f>-AO77+AN93</f>
        <v>11991.105633802816</v>
      </c>
      <c r="AP93" s="135">
        <f>-AP77+AO93</f>
        <v>14981.514084507042</v>
      </c>
      <c r="AQ93" s="135">
        <f>-AQ77+AP93</f>
        <v>17091.369718309859</v>
      </c>
      <c r="AR93" s="135">
        <f>-AR77+AQ93</f>
        <v>19408.838028169015</v>
      </c>
      <c r="AS93" s="135">
        <f>-AS77+AR93</f>
        <v>22468.99647887324</v>
      </c>
      <c r="AT93" s="135">
        <f>-AT77+AS93</f>
        <v>25533.084507042255</v>
      </c>
      <c r="AU93" s="135">
        <f>-AU77+AT93</f>
        <v>28465.204225352114</v>
      </c>
      <c r="AV93" s="135">
        <f>-AV77+AU93</f>
        <v>30731.260563380281</v>
      </c>
      <c r="AW93" s="203">
        <f>-AW77+AV93</f>
        <v>33477.380281690144</v>
      </c>
    </row>
    <row r="94" spans="6:49" x14ac:dyDescent="0.3">
      <c r="W94" s="35"/>
      <c r="AK94" s="35" t="s">
        <v>72</v>
      </c>
    </row>
    <row r="95" spans="6:49" x14ac:dyDescent="0.3">
      <c r="F95" s="87" t="s">
        <v>133</v>
      </c>
      <c r="G95" s="87"/>
      <c r="H95" s="87"/>
      <c r="I95" s="125">
        <v>0</v>
      </c>
      <c r="J95" s="125">
        <v>1</v>
      </c>
      <c r="K95" s="125">
        <v>2</v>
      </c>
      <c r="L95" s="125">
        <v>3</v>
      </c>
      <c r="M95" s="125">
        <v>4</v>
      </c>
      <c r="N95" s="125">
        <v>5</v>
      </c>
      <c r="O95" s="125">
        <v>6</v>
      </c>
      <c r="P95" s="125">
        <v>7</v>
      </c>
      <c r="Q95" s="125">
        <v>8</v>
      </c>
      <c r="R95" s="125">
        <v>9</v>
      </c>
      <c r="S95" s="125">
        <v>10</v>
      </c>
      <c r="T95" s="125">
        <v>11</v>
      </c>
      <c r="U95" s="125">
        <v>12</v>
      </c>
      <c r="V95" s="88"/>
      <c r="W95" s="88"/>
      <c r="X95" s="125">
        <v>13</v>
      </c>
      <c r="Y95" s="125">
        <v>14</v>
      </c>
      <c r="Z95" s="125">
        <v>15</v>
      </c>
      <c r="AA95" s="125">
        <v>16</v>
      </c>
      <c r="AB95" s="125">
        <v>17</v>
      </c>
      <c r="AC95" s="125">
        <v>18</v>
      </c>
      <c r="AD95" s="125">
        <v>19</v>
      </c>
      <c r="AE95" s="125">
        <v>20</v>
      </c>
      <c r="AF95" s="125">
        <v>21</v>
      </c>
      <c r="AG95" s="125">
        <v>22</v>
      </c>
      <c r="AH95" s="125">
        <v>23</v>
      </c>
      <c r="AI95" s="125">
        <v>24</v>
      </c>
      <c r="AJ95" s="88"/>
      <c r="AK95" s="88"/>
      <c r="AL95" s="125">
        <v>25</v>
      </c>
      <c r="AM95" s="125">
        <v>26</v>
      </c>
      <c r="AN95" s="125">
        <v>27</v>
      </c>
      <c r="AO95" s="125">
        <v>28</v>
      </c>
      <c r="AP95" s="125">
        <v>29</v>
      </c>
      <c r="AQ95" s="125">
        <v>30</v>
      </c>
      <c r="AR95" s="125">
        <v>31</v>
      </c>
      <c r="AS95" s="125">
        <v>32</v>
      </c>
      <c r="AT95" s="125">
        <v>33</v>
      </c>
      <c r="AU95" s="125">
        <v>34</v>
      </c>
      <c r="AV95" s="125">
        <v>35</v>
      </c>
      <c r="AW95" s="125">
        <v>36</v>
      </c>
    </row>
    <row r="96" spans="6:49" x14ac:dyDescent="0.3">
      <c r="F96" s="87" t="s">
        <v>129</v>
      </c>
      <c r="G96" s="87"/>
      <c r="H96" s="87"/>
      <c r="I96" s="151">
        <f>I78</f>
        <v>-550000</v>
      </c>
      <c r="J96" s="151">
        <f>I96+J87</f>
        <v>-550000</v>
      </c>
      <c r="K96" s="151">
        <f>I96+K87</f>
        <v>-550000</v>
      </c>
      <c r="L96" s="151">
        <f t="shared" ref="L96:U96" si="348">K96+L87</f>
        <v>-550000</v>
      </c>
      <c r="M96" s="151">
        <f t="shared" si="348"/>
        <v>-550000</v>
      </c>
      <c r="N96" s="151">
        <f t="shared" si="348"/>
        <v>-550000</v>
      </c>
      <c r="O96" s="151">
        <f t="shared" si="348"/>
        <v>-550000</v>
      </c>
      <c r="P96" s="151">
        <f t="shared" si="348"/>
        <v>-550000</v>
      </c>
      <c r="Q96" s="151">
        <f t="shared" si="348"/>
        <v>-550000</v>
      </c>
      <c r="R96" s="151">
        <f t="shared" si="348"/>
        <v>-550000</v>
      </c>
      <c r="S96" s="151">
        <f t="shared" si="348"/>
        <v>-550000</v>
      </c>
      <c r="T96" s="151">
        <f t="shared" si="348"/>
        <v>-550000</v>
      </c>
      <c r="U96" s="151">
        <f t="shared" si="348"/>
        <v>-391870.02983568073</v>
      </c>
      <c r="V96" s="87"/>
      <c r="W96" s="87"/>
      <c r="X96" s="151">
        <f>U96+X87</f>
        <v>-391870.02983568073</v>
      </c>
      <c r="Y96" s="151">
        <f>X96+Y87</f>
        <v>-391870.02983568073</v>
      </c>
      <c r="Z96" s="151">
        <f t="shared" ref="Z96:AI96" si="349">Y96+Z87</f>
        <v>-391870.02983568073</v>
      </c>
      <c r="AA96" s="151">
        <f t="shared" si="349"/>
        <v>-391870.02983568073</v>
      </c>
      <c r="AB96" s="151">
        <f t="shared" si="349"/>
        <v>-391870.02983568073</v>
      </c>
      <c r="AC96" s="151">
        <f t="shared" si="349"/>
        <v>-391870.02983568073</v>
      </c>
      <c r="AD96" s="151">
        <f t="shared" si="349"/>
        <v>-391870.02983568073</v>
      </c>
      <c r="AE96" s="151">
        <f t="shared" si="349"/>
        <v>-391870.02983568073</v>
      </c>
      <c r="AF96" s="151">
        <f t="shared" si="349"/>
        <v>-391870.02983568073</v>
      </c>
      <c r="AG96" s="151">
        <f t="shared" si="349"/>
        <v>-391870.02983568073</v>
      </c>
      <c r="AH96" s="151">
        <f t="shared" si="349"/>
        <v>-391870.02983568073</v>
      </c>
      <c r="AI96" s="151">
        <f t="shared" si="349"/>
        <v>-94494.753309859138</v>
      </c>
      <c r="AJ96" s="87"/>
      <c r="AK96" s="87"/>
      <c r="AL96" s="151">
        <f>AI96+AL87</f>
        <v>-94494.753309859138</v>
      </c>
      <c r="AM96" s="151">
        <f t="shared" ref="AM96:AW96" si="350">AL96+AM87</f>
        <v>-94494.753309859138</v>
      </c>
      <c r="AN96" s="151">
        <f t="shared" si="350"/>
        <v>-94494.753309859138</v>
      </c>
      <c r="AO96" s="151">
        <f t="shared" si="350"/>
        <v>3315.6309700136771</v>
      </c>
      <c r="AP96" s="151">
        <f t="shared" si="350"/>
        <v>3315.6309700136771</v>
      </c>
      <c r="AQ96" s="151">
        <f t="shared" si="350"/>
        <v>3315.6309700136771</v>
      </c>
      <c r="AR96" s="151">
        <f t="shared" si="350"/>
        <v>3315.6309700136771</v>
      </c>
      <c r="AS96" s="151">
        <f t="shared" si="350"/>
        <v>97773.855861837743</v>
      </c>
      <c r="AT96" s="151">
        <f t="shared" si="350"/>
        <v>97773.855861837743</v>
      </c>
      <c r="AU96" s="151">
        <f t="shared" si="350"/>
        <v>97773.855861837743</v>
      </c>
      <c r="AV96" s="151">
        <f t="shared" si="350"/>
        <v>97773.855861837743</v>
      </c>
      <c r="AW96" s="151">
        <f t="shared" si="350"/>
        <v>187966.87767605638</v>
      </c>
    </row>
    <row r="97" spans="6:49" x14ac:dyDescent="0.3">
      <c r="F97" s="87" t="s">
        <v>134</v>
      </c>
      <c r="G97" s="87"/>
      <c r="H97" s="87"/>
      <c r="I97" s="152" t="str">
        <f>IF(I96&lt;0,"No","Si")</f>
        <v>No</v>
      </c>
      <c r="J97" s="152" t="str">
        <f t="shared" ref="J97:U97" si="351">IF(J96&lt;0,"No","Si")</f>
        <v>No</v>
      </c>
      <c r="K97" s="152" t="str">
        <f t="shared" si="351"/>
        <v>No</v>
      </c>
      <c r="L97" s="152" t="str">
        <f t="shared" si="351"/>
        <v>No</v>
      </c>
      <c r="M97" s="152" t="str">
        <f t="shared" si="351"/>
        <v>No</v>
      </c>
      <c r="N97" s="152" t="str">
        <f t="shared" si="351"/>
        <v>No</v>
      </c>
      <c r="O97" s="152" t="str">
        <f t="shared" si="351"/>
        <v>No</v>
      </c>
      <c r="P97" s="152" t="str">
        <f t="shared" si="351"/>
        <v>No</v>
      </c>
      <c r="Q97" s="152" t="str">
        <f t="shared" si="351"/>
        <v>No</v>
      </c>
      <c r="R97" s="152" t="str">
        <f t="shared" si="351"/>
        <v>No</v>
      </c>
      <c r="S97" s="152" t="str">
        <f t="shared" si="351"/>
        <v>No</v>
      </c>
      <c r="T97" s="152" t="str">
        <f t="shared" si="351"/>
        <v>No</v>
      </c>
      <c r="U97" s="152" t="str">
        <f t="shared" si="351"/>
        <v>No</v>
      </c>
      <c r="V97" s="88"/>
      <c r="W97" s="88"/>
      <c r="X97" s="152" t="str">
        <f t="shared" ref="X97" si="352">IF(X96&lt;0,"No","Si")</f>
        <v>No</v>
      </c>
      <c r="Y97" s="152" t="str">
        <f t="shared" ref="Y97" si="353">IF(Y96&lt;0,"No","Si")</f>
        <v>No</v>
      </c>
      <c r="Z97" s="152" t="str">
        <f t="shared" ref="Z97" si="354">IF(Z96&lt;0,"No","Si")</f>
        <v>No</v>
      </c>
      <c r="AA97" s="152" t="str">
        <f t="shared" ref="AA97" si="355">IF(AA96&lt;0,"No","Si")</f>
        <v>No</v>
      </c>
      <c r="AB97" s="152" t="str">
        <f t="shared" ref="AB97" si="356">IF(AB96&lt;0,"No","Si")</f>
        <v>No</v>
      </c>
      <c r="AC97" s="152" t="str">
        <f t="shared" ref="AC97" si="357">IF(AC96&lt;0,"No","Si")</f>
        <v>No</v>
      </c>
      <c r="AD97" s="152" t="str">
        <f t="shared" ref="AD97" si="358">IF(AD96&lt;0,"No","Si")</f>
        <v>No</v>
      </c>
      <c r="AE97" s="152" t="str">
        <f t="shared" ref="AE97" si="359">IF(AE96&lt;0,"No","Si")</f>
        <v>No</v>
      </c>
      <c r="AF97" s="152" t="str">
        <f t="shared" ref="AF97" si="360">IF(AF96&lt;0,"No","Si")</f>
        <v>No</v>
      </c>
      <c r="AG97" s="152" t="str">
        <f t="shared" ref="AG97" si="361">IF(AG96&lt;0,"No","Si")</f>
        <v>No</v>
      </c>
      <c r="AH97" s="152" t="str">
        <f t="shared" ref="AH97" si="362">IF(AH96&lt;0,"No","Si")</f>
        <v>No</v>
      </c>
      <c r="AI97" s="152" t="str">
        <f t="shared" ref="AI97" si="363">IF(AI96&lt;0,"No","Si")</f>
        <v>No</v>
      </c>
      <c r="AJ97" s="88"/>
      <c r="AK97" s="88"/>
      <c r="AL97" s="152" t="str">
        <f t="shared" ref="AL97" si="364">IF(AL96&lt;0,"No","Si")</f>
        <v>No</v>
      </c>
      <c r="AM97" s="152" t="str">
        <f t="shared" ref="AM97" si="365">IF(AM96&lt;0,"No","Si")</f>
        <v>No</v>
      </c>
      <c r="AN97" s="152" t="str">
        <f t="shared" ref="AN97" si="366">IF(AN96&lt;0,"No","Si")</f>
        <v>No</v>
      </c>
      <c r="AO97" s="152" t="str">
        <f t="shared" ref="AO97" si="367">IF(AO96&lt;0,"No","Si")</f>
        <v>Si</v>
      </c>
      <c r="AP97" s="152" t="str">
        <f t="shared" ref="AP97" si="368">IF(AP96&lt;0,"No","Si")</f>
        <v>Si</v>
      </c>
      <c r="AQ97" s="152" t="str">
        <f t="shared" ref="AQ97" si="369">IF(AQ96&lt;0,"No","Si")</f>
        <v>Si</v>
      </c>
      <c r="AR97" s="152" t="str">
        <f t="shared" ref="AR97" si="370">IF(AR96&lt;0,"No","Si")</f>
        <v>Si</v>
      </c>
      <c r="AS97" s="152" t="str">
        <f t="shared" ref="AS97" si="371">IF(AS96&lt;0,"No","Si")</f>
        <v>Si</v>
      </c>
      <c r="AT97" s="152" t="str">
        <f t="shared" ref="AT97" si="372">IF(AT96&lt;0,"No","Si")</f>
        <v>Si</v>
      </c>
      <c r="AU97" s="152" t="str">
        <f t="shared" ref="AU97" si="373">IF(AU96&lt;0,"No","Si")</f>
        <v>Si</v>
      </c>
      <c r="AV97" s="152" t="str">
        <f t="shared" ref="AV97" si="374">IF(AV96&lt;0,"No","Si")</f>
        <v>Si</v>
      </c>
      <c r="AW97" s="152" t="str">
        <f t="shared" ref="AW97" si="375">IF(AW96&lt;0,"No","Si")</f>
        <v>Si</v>
      </c>
    </row>
    <row r="98" spans="6:49" x14ac:dyDescent="0.3">
      <c r="F98" s="87" t="s">
        <v>136</v>
      </c>
      <c r="G98" s="87"/>
      <c r="H98" s="87"/>
      <c r="I98" s="87" t="str">
        <f t="shared" ref="I98" si="376">IF(AND(H97="No",I97="Si"),"PAYBACK","")</f>
        <v/>
      </c>
      <c r="J98" s="87" t="str">
        <f t="shared" ref="J98" si="377">IF(AND(I97="No",J97="Si"),"PAYBACK","")</f>
        <v/>
      </c>
      <c r="K98" s="87" t="str">
        <f t="shared" ref="K98" si="378">IF(AND(J97="No",K97="Si"),"PAYBACK","")</f>
        <v/>
      </c>
      <c r="L98" s="87" t="str">
        <f t="shared" ref="L98" si="379">IF(AND(K97="No",L97="Si"),"PAYBACK","")</f>
        <v/>
      </c>
      <c r="M98" s="87" t="str">
        <f t="shared" ref="M98" si="380">IF(AND(L97="No",M97="Si"),"PAYBACK","")</f>
        <v/>
      </c>
      <c r="N98" s="87" t="str">
        <f t="shared" ref="N98" si="381">IF(AND(M97="No",N97="Si"),"PAYBACK","")</f>
        <v/>
      </c>
      <c r="O98" s="87" t="str">
        <f t="shared" ref="O98" si="382">IF(AND(N97="No",O97="Si"),"PAYBACK","")</f>
        <v/>
      </c>
      <c r="P98" s="87" t="str">
        <f t="shared" ref="P98" si="383">IF(AND(O97="No",P97="Si"),"PAYBACK","")</f>
        <v/>
      </c>
      <c r="Q98" s="87" t="str">
        <f t="shared" ref="Q98" si="384">IF(AND(P97="No",Q97="Si"),"PAYBACK","")</f>
        <v/>
      </c>
      <c r="R98" s="87" t="str">
        <f t="shared" ref="R98" si="385">IF(AND(Q97="No",R97="Si"),"PAYBACK","")</f>
        <v/>
      </c>
      <c r="S98" s="87" t="str">
        <f t="shared" ref="S98" si="386">IF(AND(R97="No",S97="Si"),"PAYBACK","")</f>
        <v/>
      </c>
      <c r="T98" s="87" t="str">
        <f t="shared" ref="T98" si="387">IF(AND(S97="No",T97="Si"),"PAYBACK","")</f>
        <v/>
      </c>
      <c r="U98" s="87" t="str">
        <f t="shared" ref="U98" si="388">IF(AND(T97="No",U97="Si"),"PAYBACK","")</f>
        <v/>
      </c>
      <c r="V98" s="87"/>
      <c r="W98" s="87"/>
      <c r="X98" s="87" t="str">
        <f>IF(AND(U97="No",X97="Si"),"PAYBACK","")</f>
        <v/>
      </c>
      <c r="Y98" s="87" t="str">
        <f t="shared" ref="Y98" si="389">IF(AND(X97="No",Y97="Si"),"PAYBACK","")</f>
        <v/>
      </c>
      <c r="Z98" s="87" t="str">
        <f t="shared" ref="Z98" si="390">IF(AND(Y97="No",Z97="Si"),"PAYBACK","")</f>
        <v/>
      </c>
      <c r="AA98" s="87" t="str">
        <f t="shared" ref="AA98" si="391">IF(AND(Z97="No",AA97="Si"),"PAYBACK","")</f>
        <v/>
      </c>
      <c r="AB98" s="87" t="str">
        <f t="shared" ref="AB98" si="392">IF(AND(AA97="No",AB97="Si"),"PAYBACK","")</f>
        <v/>
      </c>
      <c r="AC98" s="87" t="str">
        <f t="shared" ref="AC98" si="393">IF(AND(AB97="No",AC97="Si"),"PAYBACK","")</f>
        <v/>
      </c>
      <c r="AD98" s="87" t="str">
        <f t="shared" ref="AD98" si="394">IF(AND(AC97="No",AD97="Si"),"PAYBACK","")</f>
        <v/>
      </c>
      <c r="AE98" s="87" t="str">
        <f t="shared" ref="AE98" si="395">IF(AND(AD97="No",AE97="Si"),"PAYBACK","")</f>
        <v/>
      </c>
      <c r="AF98" s="87" t="str">
        <f t="shared" ref="AF98" si="396">IF(AND(AE97="No",AF97="Si"),"PAYBACK","")</f>
        <v/>
      </c>
      <c r="AG98" s="87" t="str">
        <f t="shared" ref="AG98" si="397">IF(AND(AF97="No",AG97="Si"),"PAYBACK","")</f>
        <v/>
      </c>
      <c r="AH98" s="87" t="str">
        <f t="shared" ref="AH98" si="398">IF(AND(AG97="No",AH97="Si"),"PAYBACK","")</f>
        <v/>
      </c>
      <c r="AI98" s="87" t="str">
        <f t="shared" ref="AI98" si="399">IF(AND(AH97="No",AI97="Si"),"PAYBACK","")</f>
        <v/>
      </c>
      <c r="AJ98" s="87"/>
      <c r="AK98" s="87"/>
      <c r="AL98" s="87" t="str">
        <f>IF(AND(AI97="No",AL97="Si"),"PAYBACK","")</f>
        <v/>
      </c>
      <c r="AM98" s="87" t="str">
        <f t="shared" ref="AM98:AN98" si="400">IF(AND(AL97="No",AM97="Si"),"PAYBACK","")</f>
        <v/>
      </c>
      <c r="AN98" s="87" t="str">
        <f t="shared" si="400"/>
        <v/>
      </c>
      <c r="AO98" s="152" t="str">
        <f>IF(AND(AN97="No",AO97="Si"),"PAYBACK","")</f>
        <v>PAYBACK</v>
      </c>
      <c r="AP98" s="87" t="str">
        <f t="shared" ref="AP98:AW98" si="401">IF(AND(AO97="No",AP97="Si"),"PAYBACK","")</f>
        <v/>
      </c>
      <c r="AQ98" s="87" t="str">
        <f t="shared" si="401"/>
        <v/>
      </c>
      <c r="AR98" s="87" t="str">
        <f t="shared" si="401"/>
        <v/>
      </c>
      <c r="AS98" s="87" t="str">
        <f t="shared" si="401"/>
        <v/>
      </c>
      <c r="AT98" s="87" t="str">
        <f t="shared" si="401"/>
        <v/>
      </c>
      <c r="AU98" s="87" t="str">
        <f t="shared" si="401"/>
        <v/>
      </c>
      <c r="AV98" s="87" t="str">
        <f t="shared" si="401"/>
        <v/>
      </c>
      <c r="AW98" s="87" t="str">
        <f t="shared" si="401"/>
        <v/>
      </c>
    </row>
    <row r="99" spans="6:49" x14ac:dyDescent="0.3">
      <c r="F99" s="210" t="s">
        <v>236</v>
      </c>
    </row>
    <row r="100" spans="6:49" x14ac:dyDescent="0.3">
      <c r="G100" t="s">
        <v>237</v>
      </c>
      <c r="J100" s="27">
        <f t="shared" ref="J100:U100" si="402">MAX(J67,J66)*(1+$C$62)</f>
        <v>0</v>
      </c>
      <c r="K100" s="27">
        <f t="shared" si="402"/>
        <v>18182.940845070418</v>
      </c>
      <c r="L100" s="27">
        <f t="shared" si="402"/>
        <v>16971.718309859156</v>
      </c>
      <c r="M100" s="27">
        <f t="shared" si="402"/>
        <v>25955.470422535211</v>
      </c>
      <c r="N100" s="27">
        <f t="shared" si="402"/>
        <v>20064.67605633803</v>
      </c>
      <c r="O100" s="27">
        <f t="shared" si="402"/>
        <v>14156.450704225352</v>
      </c>
      <c r="P100" s="27">
        <f t="shared" si="402"/>
        <v>18539.74647887324</v>
      </c>
      <c r="Q100" s="27">
        <f t="shared" si="402"/>
        <v>23691.54929577465</v>
      </c>
      <c r="R100" s="27">
        <f t="shared" si="402"/>
        <v>26146.884507042254</v>
      </c>
      <c r="S100" s="27">
        <f t="shared" si="402"/>
        <v>25726.985915492955</v>
      </c>
      <c r="T100" s="27">
        <f t="shared" si="402"/>
        <v>21754.140845070422</v>
      </c>
      <c r="U100" s="27">
        <f t="shared" si="402"/>
        <v>28347.042253521126</v>
      </c>
      <c r="X100" s="27">
        <f t="shared" ref="X100:AI100" si="403">MAX(X67,X66)*(1+$C$62)</f>
        <v>27522.25352112676</v>
      </c>
      <c r="Y100" s="27">
        <f t="shared" si="403"/>
        <v>30304.901408450703</v>
      </c>
      <c r="Z100" s="27">
        <f t="shared" si="403"/>
        <v>28286.197183098593</v>
      </c>
      <c r="AA100" s="27">
        <f t="shared" si="403"/>
        <v>39931.492957746472</v>
      </c>
      <c r="AB100" s="27">
        <f t="shared" si="403"/>
        <v>30868.732394366198</v>
      </c>
      <c r="AC100" s="27">
        <f t="shared" si="403"/>
        <v>21779.154929577464</v>
      </c>
      <c r="AD100" s="27">
        <f t="shared" si="403"/>
        <v>26485.352112676057</v>
      </c>
      <c r="AE100" s="27">
        <f t="shared" si="403"/>
        <v>31588.732394366198</v>
      </c>
      <c r="AF100" s="27">
        <f t="shared" si="403"/>
        <v>32683.605633802817</v>
      </c>
      <c r="AG100" s="27">
        <f t="shared" si="403"/>
        <v>30267.042253521126</v>
      </c>
      <c r="AH100" s="27">
        <f t="shared" si="403"/>
        <v>24171.267605633802</v>
      </c>
      <c r="AI100" s="27">
        <f t="shared" si="403"/>
        <v>28347.042253521126</v>
      </c>
      <c r="AL100" s="27">
        <f t="shared" ref="AL100:AW100" si="404">MAX(AL67,AL66)*(1+$C$62)</f>
        <v>27522.25352112676</v>
      </c>
      <c r="AM100" s="27">
        <f t="shared" si="404"/>
        <v>30304.901408450703</v>
      </c>
      <c r="AN100" s="27">
        <f t="shared" si="404"/>
        <v>28286.197183098593</v>
      </c>
      <c r="AO100" s="27">
        <f t="shared" si="404"/>
        <v>39931.492957746472</v>
      </c>
      <c r="AP100" s="27">
        <f t="shared" si="404"/>
        <v>30868.732394366198</v>
      </c>
      <c r="AQ100" s="27">
        <f t="shared" si="404"/>
        <v>21779.154929577464</v>
      </c>
      <c r="AR100" s="27">
        <f t="shared" si="404"/>
        <v>26485.352112676057</v>
      </c>
      <c r="AS100" s="27">
        <f t="shared" si="404"/>
        <v>31588.732394366198</v>
      </c>
      <c r="AT100" s="27">
        <f t="shared" si="404"/>
        <v>32683.605633802817</v>
      </c>
      <c r="AU100" s="27">
        <f t="shared" si="404"/>
        <v>30267.042253521126</v>
      </c>
      <c r="AV100" s="27">
        <f t="shared" si="404"/>
        <v>24171.267605633802</v>
      </c>
      <c r="AW100" s="27">
        <f t="shared" si="404"/>
        <v>28347.042253521126</v>
      </c>
    </row>
    <row r="101" spans="6:49" ht="22.95" customHeight="1" x14ac:dyDescent="0.3">
      <c r="F101" s="97"/>
      <c r="G101" s="98" t="s">
        <v>238</v>
      </c>
      <c r="H101" s="98"/>
      <c r="I101" s="98"/>
      <c r="J101" s="209">
        <f t="shared" ref="J101:U101" si="405">J83</f>
        <v>30000</v>
      </c>
      <c r="K101" s="209">
        <f t="shared" si="405"/>
        <v>49407.707370892007</v>
      </c>
      <c r="L101" s="209">
        <f t="shared" si="405"/>
        <v>53615.128090261984</v>
      </c>
      <c r="M101" s="209">
        <f t="shared" si="405"/>
        <v>76277.561924882641</v>
      </c>
      <c r="N101" s="209">
        <f t="shared" si="405"/>
        <v>81122.945759503258</v>
      </c>
      <c r="O101" s="209">
        <f t="shared" si="405"/>
        <v>79493.425848477971</v>
      </c>
      <c r="P101" s="209">
        <f t="shared" si="405"/>
        <v>82619.939865861845</v>
      </c>
      <c r="Q101" s="209">
        <f t="shared" si="405"/>
        <v>98777.093153869471</v>
      </c>
      <c r="R101" s="209">
        <f t="shared" si="405"/>
        <v>126194.48140845072</v>
      </c>
      <c r="S101" s="209">
        <f t="shared" si="405"/>
        <v>155204.4912759352</v>
      </c>
      <c r="T101" s="209">
        <f t="shared" si="405"/>
        <v>158129.97016431927</v>
      </c>
      <c r="U101" s="209">
        <f t="shared" si="405"/>
        <v>187996.96152430717</v>
      </c>
      <c r="V101" s="98"/>
      <c r="X101" s="27">
        <f t="shared" ref="X101:AI101" si="406">X83</f>
        <v>58253.920430107537</v>
      </c>
      <c r="Y101" s="27">
        <f t="shared" si="406"/>
        <v>86139.786619718332</v>
      </c>
      <c r="Z101" s="27">
        <f t="shared" si="406"/>
        <v>112371.91714372259</v>
      </c>
      <c r="AA101" s="27">
        <f t="shared" si="406"/>
        <v>160157.75140845077</v>
      </c>
      <c r="AB101" s="27">
        <f t="shared" si="406"/>
        <v>179494.60399818269</v>
      </c>
      <c r="AC101" s="27">
        <f t="shared" si="406"/>
        <v>194705.22066484936</v>
      </c>
      <c r="AD101" s="27">
        <f t="shared" si="406"/>
        <v>207182.25471160299</v>
      </c>
      <c r="AE101" s="27">
        <f t="shared" si="406"/>
        <v>231790.37512494327</v>
      </c>
      <c r="AF101" s="27">
        <f t="shared" si="406"/>
        <v>268996.2856807512</v>
      </c>
      <c r="AG101" s="27">
        <f t="shared" si="406"/>
        <v>302051.04507799487</v>
      </c>
      <c r="AH101" s="27">
        <f t="shared" si="406"/>
        <v>297375.27652582159</v>
      </c>
      <c r="AI101" s="27">
        <f t="shared" si="406"/>
        <v>316769.78545358172</v>
      </c>
      <c r="AL101" s="27">
        <f t="shared" ref="AL101:AW101" si="407">AL83</f>
        <v>43692.387566257778</v>
      </c>
      <c r="AM101" s="27">
        <f t="shared" si="407"/>
        <v>71578.253755868558</v>
      </c>
      <c r="AN101" s="27">
        <f t="shared" si="407"/>
        <v>97810.384279872815</v>
      </c>
      <c r="AO101" s="27">
        <f t="shared" si="407"/>
        <v>145596.218544601</v>
      </c>
      <c r="AP101" s="27">
        <f t="shared" si="407"/>
        <v>66770.574178403767</v>
      </c>
      <c r="AQ101" s="27">
        <f t="shared" si="407"/>
        <v>81981.190845070436</v>
      </c>
      <c r="AR101" s="27">
        <f t="shared" si="407"/>
        <v>94458.224891824066</v>
      </c>
      <c r="AS101" s="27">
        <f t="shared" si="407"/>
        <v>119066.34530516433</v>
      </c>
      <c r="AT101" s="27">
        <f t="shared" si="407"/>
        <v>61814.030969148225</v>
      </c>
      <c r="AU101" s="27">
        <f t="shared" si="407"/>
        <v>94868.790366391913</v>
      </c>
      <c r="AV101" s="27">
        <f t="shared" si="407"/>
        <v>90193.021814218635</v>
      </c>
      <c r="AW101" s="27">
        <f t="shared" si="407"/>
        <v>109587.53074197876</v>
      </c>
    </row>
    <row r="102" spans="6:49" x14ac:dyDescent="0.3">
      <c r="G102" t="s">
        <v>239</v>
      </c>
      <c r="J102" s="27">
        <f t="shared" ref="J102:U102" si="408">J101-J100</f>
        <v>30000</v>
      </c>
      <c r="K102" s="27">
        <f t="shared" si="408"/>
        <v>31224.766525821589</v>
      </c>
      <c r="L102" s="27">
        <f t="shared" si="408"/>
        <v>36643.409780402828</v>
      </c>
      <c r="M102" s="27">
        <f t="shared" si="408"/>
        <v>50322.09150234743</v>
      </c>
      <c r="N102" s="27">
        <f t="shared" si="408"/>
        <v>61058.269703165228</v>
      </c>
      <c r="O102" s="27">
        <f t="shared" si="408"/>
        <v>65336.975144252618</v>
      </c>
      <c r="P102" s="27">
        <f t="shared" si="408"/>
        <v>64080.193386988605</v>
      </c>
      <c r="Q102" s="27">
        <f t="shared" si="408"/>
        <v>75085.543858094825</v>
      </c>
      <c r="R102" s="27">
        <f t="shared" si="408"/>
        <v>100047.59690140847</v>
      </c>
      <c r="S102" s="27">
        <f t="shared" si="408"/>
        <v>129477.50536044224</v>
      </c>
      <c r="T102" s="27">
        <f t="shared" si="408"/>
        <v>136375.82931924885</v>
      </c>
      <c r="U102" s="27">
        <f t="shared" si="408"/>
        <v>159649.91927078605</v>
      </c>
      <c r="X102" s="27">
        <f t="shared" ref="X102:AI102" si="409">X101-X100</f>
        <v>30731.666908980776</v>
      </c>
      <c r="Y102" s="27">
        <f t="shared" si="409"/>
        <v>55834.885211267625</v>
      </c>
      <c r="Z102" s="27">
        <f t="shared" si="409"/>
        <v>84085.719960624003</v>
      </c>
      <c r="AA102" s="27">
        <f t="shared" si="409"/>
        <v>120226.25845070431</v>
      </c>
      <c r="AB102" s="27">
        <f t="shared" si="409"/>
        <v>148625.87160381649</v>
      </c>
      <c r="AC102" s="27">
        <f t="shared" si="409"/>
        <v>172926.0657352719</v>
      </c>
      <c r="AD102" s="27">
        <f t="shared" si="409"/>
        <v>180696.90259892694</v>
      </c>
      <c r="AE102" s="27">
        <f t="shared" si="409"/>
        <v>200201.64273057706</v>
      </c>
      <c r="AF102" s="27">
        <f t="shared" si="409"/>
        <v>236312.68004694837</v>
      </c>
      <c r="AG102" s="27">
        <f t="shared" si="409"/>
        <v>271784.00282447378</v>
      </c>
      <c r="AH102" s="27">
        <f t="shared" si="409"/>
        <v>273204.00892018777</v>
      </c>
      <c r="AI102" s="27">
        <f t="shared" si="409"/>
        <v>288422.74320006056</v>
      </c>
      <c r="AL102" s="27">
        <f t="shared" ref="AL102:AW102" si="410">AL101-AL100</f>
        <v>16170.134045131017</v>
      </c>
      <c r="AM102" s="27">
        <f t="shared" si="410"/>
        <v>41273.352347417851</v>
      </c>
      <c r="AN102" s="27">
        <f t="shared" si="410"/>
        <v>69524.187096774229</v>
      </c>
      <c r="AO102" s="27">
        <f t="shared" si="410"/>
        <v>105664.72558685453</v>
      </c>
      <c r="AP102" s="27">
        <f t="shared" si="410"/>
        <v>35901.84178403757</v>
      </c>
      <c r="AQ102" s="27">
        <f t="shared" si="410"/>
        <v>60202.035915492976</v>
      </c>
      <c r="AR102" s="27">
        <f t="shared" si="410"/>
        <v>67972.872779148005</v>
      </c>
      <c r="AS102" s="27">
        <f t="shared" si="410"/>
        <v>87477.61291079814</v>
      </c>
      <c r="AT102" s="27">
        <f t="shared" si="410"/>
        <v>29130.425335345408</v>
      </c>
      <c r="AU102" s="27">
        <f t="shared" si="410"/>
        <v>64601.748112870788</v>
      </c>
      <c r="AV102" s="27">
        <f t="shared" si="410"/>
        <v>66021.75420858484</v>
      </c>
      <c r="AW102" s="27">
        <f t="shared" si="410"/>
        <v>81240.488488457631</v>
      </c>
    </row>
    <row r="103" spans="6:49" x14ac:dyDescent="0.3">
      <c r="F103" s="75"/>
      <c r="G103" s="76"/>
      <c r="H103" s="76"/>
      <c r="I103" s="76"/>
      <c r="J103" s="76"/>
      <c r="K103" s="76"/>
      <c r="L103" s="76"/>
      <c r="M103" s="77"/>
      <c r="O103" s="92"/>
      <c r="P103" s="13"/>
      <c r="Q103" s="13"/>
      <c r="R103" s="13"/>
      <c r="S103" s="13"/>
      <c r="T103" s="13"/>
      <c r="U103" s="13"/>
      <c r="V103" s="93"/>
    </row>
    <row r="104" spans="6:49" x14ac:dyDescent="0.3">
      <c r="F104" s="99"/>
      <c r="G104" s="2" t="s">
        <v>130</v>
      </c>
      <c r="H104" s="3"/>
      <c r="I104" s="3"/>
      <c r="J104" s="79"/>
      <c r="K104" s="79"/>
      <c r="L104" s="79"/>
      <c r="M104" s="80"/>
      <c r="O104" s="99"/>
      <c r="P104" s="2" t="s">
        <v>185</v>
      </c>
      <c r="Q104" s="3"/>
      <c r="R104" s="3"/>
      <c r="V104" s="95"/>
    </row>
    <row r="105" spans="6:49" x14ac:dyDescent="0.3">
      <c r="F105" s="100"/>
      <c r="G105" s="101"/>
      <c r="H105" s="102"/>
      <c r="I105" s="102"/>
      <c r="J105" s="79"/>
      <c r="K105" s="79"/>
      <c r="L105" s="79"/>
      <c r="M105" s="80"/>
      <c r="O105" s="100"/>
      <c r="P105" s="101"/>
      <c r="Q105" s="102"/>
      <c r="R105" s="102"/>
      <c r="V105" s="95"/>
    </row>
    <row r="106" spans="6:49" x14ac:dyDescent="0.3">
      <c r="F106" s="78"/>
      <c r="G106" s="79"/>
      <c r="H106" s="236" t="s">
        <v>15</v>
      </c>
      <c r="I106" s="236"/>
      <c r="J106" s="236"/>
      <c r="K106" s="236"/>
      <c r="L106" s="236"/>
      <c r="M106" s="80"/>
      <c r="O106" s="94"/>
      <c r="Q106" s="234" t="s">
        <v>186</v>
      </c>
      <c r="R106" s="234"/>
      <c r="S106" s="234"/>
      <c r="T106" s="234"/>
      <c r="U106" s="234"/>
      <c r="V106" s="95"/>
    </row>
    <row r="107" spans="6:49" x14ac:dyDescent="0.3">
      <c r="F107" s="78"/>
      <c r="G107" s="153">
        <f>C35</f>
        <v>561457.36848191405</v>
      </c>
      <c r="H107" s="126">
        <v>20000</v>
      </c>
      <c r="I107" s="126">
        <v>25000</v>
      </c>
      <c r="J107" s="126">
        <v>30000</v>
      </c>
      <c r="K107" s="126">
        <v>35000</v>
      </c>
      <c r="L107" s="126">
        <v>40000</v>
      </c>
      <c r="M107" s="80"/>
      <c r="O107" s="94"/>
      <c r="P107" s="154">
        <f>C35</f>
        <v>561457.36848191405</v>
      </c>
      <c r="Q107" s="126">
        <v>45000000</v>
      </c>
      <c r="R107" s="126">
        <v>50000000</v>
      </c>
      <c r="S107" s="126">
        <v>55000000</v>
      </c>
      <c r="T107" s="126">
        <v>60000000</v>
      </c>
      <c r="U107" s="126">
        <v>65000000</v>
      </c>
      <c r="V107" s="95"/>
    </row>
    <row r="108" spans="6:49" ht="16.95" customHeight="1" x14ac:dyDescent="0.3">
      <c r="F108" s="235" t="s">
        <v>132</v>
      </c>
      <c r="G108" s="127">
        <v>0.8</v>
      </c>
      <c r="H108" s="128">
        <f t="dataTable" ref="H108:L114" dt2D="1" dtr="1" r1="C6" r2="C4" ca="1"/>
        <v>-1430869.4954457614</v>
      </c>
      <c r="I108" s="128">
        <v>-919777.92369651922</v>
      </c>
      <c r="J108" s="128">
        <v>-412862.41138945019</v>
      </c>
      <c r="K108" s="128">
        <v>144620.27470509408</v>
      </c>
      <c r="L108" s="128">
        <v>700403.06640752126</v>
      </c>
      <c r="M108" s="80"/>
      <c r="O108" s="233" t="s">
        <v>187</v>
      </c>
      <c r="P108" s="127">
        <v>0.27</v>
      </c>
      <c r="Q108" s="129">
        <f t="dataTable" ref="Q108:U119" dt2D="1" dtr="1" r1="C18" r2="C8"/>
        <v>1383539.7679740496</v>
      </c>
      <c r="R108" s="129">
        <v>1217873.5907619104</v>
      </c>
      <c r="S108" s="129">
        <v>1052207.413549772</v>
      </c>
      <c r="T108" s="129">
        <v>886541.23633763287</v>
      </c>
      <c r="U108" s="129">
        <v>720875.05912549433</v>
      </c>
      <c r="V108" s="95"/>
    </row>
    <row r="109" spans="6:49" x14ac:dyDescent="0.3">
      <c r="F109" s="235"/>
      <c r="G109" s="127">
        <v>0.85</v>
      </c>
      <c r="H109" s="128">
        <v>-1303096.6025084506</v>
      </c>
      <c r="I109" s="128">
        <v>-760061.80752488133</v>
      </c>
      <c r="J109" s="128">
        <v>-202990.49920664766</v>
      </c>
      <c r="K109" s="128">
        <v>387775.24607490574</v>
      </c>
      <c r="L109" s="128">
        <v>978294.46225873474</v>
      </c>
      <c r="M109" s="80"/>
      <c r="O109" s="233"/>
      <c r="P109" s="127">
        <v>0.28000000000000003</v>
      </c>
      <c r="Q109" s="129">
        <v>1302268.8010101193</v>
      </c>
      <c r="R109" s="129">
        <v>1136602.6237979811</v>
      </c>
      <c r="S109" s="129">
        <v>970936.44658584194</v>
      </c>
      <c r="T109" s="129">
        <v>805270.26937370375</v>
      </c>
      <c r="U109" s="129">
        <v>639604.09216156439</v>
      </c>
      <c r="V109" s="95"/>
    </row>
    <row r="110" spans="6:49" ht="15" customHeight="1" x14ac:dyDescent="0.3">
      <c r="F110" s="235"/>
      <c r="G110" s="127">
        <v>0.9</v>
      </c>
      <c r="H110" s="128">
        <v>-1175323.7095711404</v>
      </c>
      <c r="I110" s="128">
        <v>-600702.90624497528</v>
      </c>
      <c r="J110" s="128">
        <v>5674.5767794873282</v>
      </c>
      <c r="K110" s="128">
        <v>630930.21744471823</v>
      </c>
      <c r="L110" s="128">
        <v>1256185.8581099487</v>
      </c>
      <c r="M110" s="80"/>
      <c r="O110" s="233"/>
      <c r="P110" s="127">
        <v>0.28999999999999998</v>
      </c>
      <c r="Q110" s="129">
        <v>1220997.8340461906</v>
      </c>
      <c r="R110" s="129">
        <v>1055331.6568340515</v>
      </c>
      <c r="S110" s="129">
        <v>889665.47962191224</v>
      </c>
      <c r="T110" s="129">
        <v>723999.30240977369</v>
      </c>
      <c r="U110" s="129">
        <v>558333.12519763457</v>
      </c>
      <c r="V110" s="95"/>
    </row>
    <row r="111" spans="6:49" ht="15" thickBot="1" x14ac:dyDescent="0.35">
      <c r="F111" s="235"/>
      <c r="G111" s="127">
        <v>0.95</v>
      </c>
      <c r="H111" s="128">
        <v>-1047550.8166338297</v>
      </c>
      <c r="I111" s="128">
        <v>-446344.10641863814</v>
      </c>
      <c r="J111" s="128">
        <v>214093.12366789716</v>
      </c>
      <c r="K111" s="128">
        <v>874085.18881452945</v>
      </c>
      <c r="L111" s="128">
        <v>1534077.2539611626</v>
      </c>
      <c r="M111" s="80"/>
      <c r="O111" s="233"/>
      <c r="P111" s="127">
        <v>0.3</v>
      </c>
      <c r="Q111" s="129">
        <v>1139726.8670822608</v>
      </c>
      <c r="R111" s="129">
        <v>974060.68987012131</v>
      </c>
      <c r="S111" s="129">
        <v>808394.5126579823</v>
      </c>
      <c r="T111" s="129">
        <v>642728.33544584399</v>
      </c>
      <c r="U111" s="129">
        <v>477062.15823370503</v>
      </c>
      <c r="V111" s="95"/>
    </row>
    <row r="112" spans="6:49" ht="15" thickBot="1" x14ac:dyDescent="0.35">
      <c r="F112" s="235"/>
      <c r="G112" s="127">
        <v>1</v>
      </c>
      <c r="H112" s="128">
        <v>-919777.92369651922</v>
      </c>
      <c r="I112" s="128">
        <v>-272947.80326758174</v>
      </c>
      <c r="J112" s="128">
        <v>422511.67055630742</v>
      </c>
      <c r="K112" s="130">
        <v>1117240.1601843417</v>
      </c>
      <c r="L112" s="128">
        <v>1811968.6498123747</v>
      </c>
      <c r="M112" s="80"/>
      <c r="O112" s="233"/>
      <c r="P112" s="127">
        <v>0.31</v>
      </c>
      <c r="Q112" s="129">
        <v>1058455.9001183307</v>
      </c>
      <c r="R112" s="129">
        <v>892789.72290619183</v>
      </c>
      <c r="S112" s="129">
        <v>727123.54569405224</v>
      </c>
      <c r="T112" s="129">
        <v>561457.36848191405</v>
      </c>
      <c r="U112" s="129">
        <v>395791.19126977545</v>
      </c>
      <c r="V112" s="95"/>
    </row>
    <row r="113" spans="6:22" x14ac:dyDescent="0.3">
      <c r="F113" s="235"/>
      <c r="G113" s="127">
        <v>1.05</v>
      </c>
      <c r="H113" s="128">
        <v>-792005.03075920872</v>
      </c>
      <c r="I113" s="128">
        <v>-98534.696664717834</v>
      </c>
      <c r="J113" s="128">
        <v>630930.21744471788</v>
      </c>
      <c r="K113" s="128">
        <v>1360395.1315541537</v>
      </c>
      <c r="L113" s="128">
        <v>2089860.0456635896</v>
      </c>
      <c r="M113" s="80"/>
      <c r="O113" s="233"/>
      <c r="P113" s="127">
        <v>0.32</v>
      </c>
      <c r="Q113" s="129">
        <v>977184.93315440114</v>
      </c>
      <c r="R113" s="129">
        <v>811518.75594226213</v>
      </c>
      <c r="S113" s="129">
        <v>645852.57873012323</v>
      </c>
      <c r="T113" s="129">
        <v>480186.4015179844</v>
      </c>
      <c r="U113" s="129">
        <v>314520.22430584539</v>
      </c>
      <c r="V113" s="95"/>
    </row>
    <row r="114" spans="6:22" ht="15" thickBot="1" x14ac:dyDescent="0.35">
      <c r="F114" s="235"/>
      <c r="G114" s="127">
        <v>1.1000000000000001</v>
      </c>
      <c r="H114" s="128">
        <v>-664232.13782189845</v>
      </c>
      <c r="I114" s="128">
        <v>75147.42574229087</v>
      </c>
      <c r="J114" s="128">
        <v>839348.76433312811</v>
      </c>
      <c r="K114" s="128">
        <v>1603550.1029239655</v>
      </c>
      <c r="L114" s="128">
        <v>2367751.4415148036</v>
      </c>
      <c r="M114" s="80"/>
      <c r="O114" s="233"/>
      <c r="P114" s="127">
        <v>0.33</v>
      </c>
      <c r="Q114" s="129">
        <v>895913.96619047131</v>
      </c>
      <c r="R114" s="129">
        <v>730247.78897833196</v>
      </c>
      <c r="S114" s="129">
        <v>564581.61176619364</v>
      </c>
      <c r="T114" s="129">
        <v>398915.43455405498</v>
      </c>
      <c r="U114" s="129">
        <v>233249.25734191583</v>
      </c>
      <c r="V114" s="95"/>
    </row>
    <row r="115" spans="6:22" ht="15" thickBot="1" x14ac:dyDescent="0.35">
      <c r="F115" s="78"/>
      <c r="G115" s="79"/>
      <c r="H115" s="79"/>
      <c r="I115" s="79"/>
      <c r="J115" s="79"/>
      <c r="K115" s="79"/>
      <c r="L115" s="79"/>
      <c r="M115" s="80"/>
      <c r="O115" s="233"/>
      <c r="P115" s="127">
        <v>0.34</v>
      </c>
      <c r="Q115" s="129">
        <v>814642.99922654149</v>
      </c>
      <c r="R115" s="129">
        <v>648976.82201440283</v>
      </c>
      <c r="S115" s="129">
        <v>483310.64480226365</v>
      </c>
      <c r="T115" s="131">
        <v>317644.46759012539</v>
      </c>
      <c r="U115" s="129">
        <v>151978.29037798601</v>
      </c>
      <c r="V115" s="95"/>
    </row>
    <row r="116" spans="6:22" x14ac:dyDescent="0.3">
      <c r="F116" s="81"/>
      <c r="G116" s="15"/>
      <c r="H116" s="15"/>
      <c r="I116" s="15"/>
      <c r="J116" s="15"/>
      <c r="K116" s="15"/>
      <c r="L116" s="15"/>
      <c r="M116" s="82"/>
      <c r="O116" s="233"/>
      <c r="P116" s="127">
        <v>0.35</v>
      </c>
      <c r="Q116" s="129">
        <v>733372.0322626119</v>
      </c>
      <c r="R116" s="129">
        <v>567705.85505047289</v>
      </c>
      <c r="S116" s="129">
        <v>402039.67783833406</v>
      </c>
      <c r="T116" s="129">
        <v>236373.50062619551</v>
      </c>
      <c r="U116" s="129">
        <v>70707.323414056504</v>
      </c>
      <c r="V116" s="95"/>
    </row>
    <row r="117" spans="6:22" x14ac:dyDescent="0.3">
      <c r="O117" s="233"/>
      <c r="P117" s="127">
        <v>0.36</v>
      </c>
      <c r="Q117" s="129">
        <v>652101.06529868231</v>
      </c>
      <c r="R117" s="129">
        <v>486434.88808654307</v>
      </c>
      <c r="S117" s="129">
        <v>320768.71087440453</v>
      </c>
      <c r="T117" s="129">
        <v>155102.53366226572</v>
      </c>
      <c r="U117" s="129">
        <v>-10563.643549873334</v>
      </c>
      <c r="V117" s="95"/>
    </row>
    <row r="118" spans="6:22" x14ac:dyDescent="0.3">
      <c r="O118" s="233"/>
      <c r="P118" s="127">
        <v>0.37</v>
      </c>
      <c r="Q118" s="129">
        <v>570830.09833475272</v>
      </c>
      <c r="R118" s="129">
        <v>405163.92112261371</v>
      </c>
      <c r="S118" s="129">
        <v>239497.74391047438</v>
      </c>
      <c r="T118" s="129">
        <v>73831.566698335722</v>
      </c>
      <c r="U118" s="129">
        <v>-91834.610513802909</v>
      </c>
      <c r="V118" s="95"/>
    </row>
    <row r="119" spans="6:22" x14ac:dyDescent="0.3">
      <c r="O119" s="233"/>
      <c r="P119" s="127">
        <v>0.38</v>
      </c>
      <c r="Q119" s="129">
        <v>489559.13137082278</v>
      </c>
      <c r="R119" s="129">
        <v>323892.95415868371</v>
      </c>
      <c r="S119" s="129">
        <v>158226.77694654476</v>
      </c>
      <c r="T119" s="129">
        <v>-7439.4002655934237</v>
      </c>
      <c r="U119" s="129">
        <v>-173105.57747773285</v>
      </c>
      <c r="V119" s="95"/>
    </row>
    <row r="120" spans="6:22" x14ac:dyDescent="0.3">
      <c r="O120" s="81"/>
      <c r="P120" s="15"/>
      <c r="Q120" s="15"/>
      <c r="R120" s="15"/>
      <c r="S120" s="15"/>
      <c r="T120" s="15"/>
      <c r="U120" s="15"/>
      <c r="V120" s="82"/>
    </row>
  </sheetData>
  <mergeCells count="5">
    <mergeCell ref="A1:D2"/>
    <mergeCell ref="O108:O119"/>
    <mergeCell ref="Q106:U106"/>
    <mergeCell ref="F108:F114"/>
    <mergeCell ref="H106:L106"/>
  </mergeCells>
  <conditionalFormatting sqref="H108:L114">
    <cfRule type="colorScale" priority="1">
      <colorScale>
        <cfvo type="min"/>
        <cfvo type="num" val="0"/>
        <cfvo type="max"/>
        <color rgb="FFFF0000"/>
        <color rgb="FFFFEB84"/>
        <color theme="9"/>
      </colorScale>
    </cfRule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85:U85">
    <cfRule type="containsText" dxfId="8" priority="12" operator="containsText" text="Si">
      <formula>NOT(ISERROR(SEARCH("Si",J85)))</formula>
    </cfRule>
    <cfRule type="containsText" dxfId="7" priority="13" operator="containsText" text="No">
      <formula>NOT(ISERROR(SEARCH("No",J85)))</formula>
    </cfRule>
  </conditionalFormatting>
  <conditionalFormatting sqref="J87:U87">
    <cfRule type="cellIs" dxfId="6" priority="11" operator="greaterThan">
      <formula>0</formula>
    </cfRule>
  </conditionalFormatting>
  <conditionalFormatting sqref="Q108:U119">
    <cfRule type="colorScale" priority="2">
      <colorScale>
        <cfvo type="min"/>
        <cfvo type="num" val="0"/>
        <cfvo type="max"/>
        <color rgb="FFC00000"/>
        <color rgb="FFFFEB84"/>
        <color theme="9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85:AI85">
    <cfRule type="containsText" dxfId="5" priority="9" operator="containsText" text="Si">
      <formula>NOT(ISERROR(SEARCH("Si",X85)))</formula>
    </cfRule>
    <cfRule type="containsText" dxfId="4" priority="10" operator="containsText" text="No">
      <formula>NOT(ISERROR(SEARCH("No",X85)))</formula>
    </cfRule>
  </conditionalFormatting>
  <conditionalFormatting sqref="X87:AI87">
    <cfRule type="cellIs" dxfId="3" priority="8" operator="greaterThan">
      <formula>0</formula>
    </cfRule>
  </conditionalFormatting>
  <conditionalFormatting sqref="AL85:AW85">
    <cfRule type="containsText" dxfId="2" priority="5" operator="containsText" text="Si">
      <formula>NOT(ISERROR(SEARCH("Si",AL85)))</formula>
    </cfRule>
    <cfRule type="containsText" dxfId="1" priority="6" operator="containsText" text="No">
      <formula>NOT(ISERROR(SEARCH("No",AL85)))</formula>
    </cfRule>
  </conditionalFormatting>
  <conditionalFormatting sqref="AL87:AW87">
    <cfRule type="cellIs" dxfId="0" priority="4" operator="greaterThan">
      <formula>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AF7ECF-11F3-A34A-BB09-2EEFC9DF5E2E}">
  <dimension ref="B1:S102"/>
  <sheetViews>
    <sheetView showGridLines="0" topLeftCell="A39" zoomScaleNormal="100" workbookViewId="0">
      <selection activeCell="E55" sqref="E55"/>
    </sheetView>
  </sheetViews>
  <sheetFormatPr baseColWidth="10" defaultColWidth="10.77734375" defaultRowHeight="15.6" x14ac:dyDescent="0.3"/>
  <cols>
    <col min="1" max="1" width="10.77734375" style="38"/>
    <col min="2" max="2" width="46" style="38" bestFit="1" customWidth="1"/>
    <col min="3" max="3" width="48.6640625" style="38" bestFit="1" customWidth="1"/>
    <col min="4" max="4" width="10.77734375" style="38"/>
    <col min="5" max="5" width="17.109375" style="38" bestFit="1" customWidth="1"/>
    <col min="6" max="7" width="18.77734375" style="38" bestFit="1" customWidth="1"/>
    <col min="8" max="8" width="17.109375" style="38" bestFit="1" customWidth="1"/>
    <col min="9" max="15" width="17.109375" style="38" customWidth="1"/>
    <col min="16" max="16" width="12" style="38" bestFit="1" customWidth="1"/>
    <col min="17" max="16384" width="10.77734375" style="38"/>
  </cols>
  <sheetData>
    <row r="1" spans="2:19" x14ac:dyDescent="0.3">
      <c r="E1" s="155">
        <v>0</v>
      </c>
      <c r="F1" s="156">
        <v>1</v>
      </c>
      <c r="G1" s="156">
        <v>2</v>
      </c>
      <c r="H1" s="156">
        <v>3</v>
      </c>
      <c r="I1" s="156">
        <v>4</v>
      </c>
      <c r="J1" s="39">
        <v>5</v>
      </c>
      <c r="K1" s="39">
        <v>6</v>
      </c>
      <c r="L1" s="39">
        <v>7</v>
      </c>
      <c r="M1" s="39">
        <v>8</v>
      </c>
      <c r="N1" s="39">
        <v>9</v>
      </c>
      <c r="O1" s="39">
        <v>10</v>
      </c>
    </row>
    <row r="3" spans="2:19" x14ac:dyDescent="0.3">
      <c r="B3" s="38" t="s">
        <v>48</v>
      </c>
      <c r="E3" s="157">
        <v>1420</v>
      </c>
      <c r="F3" s="157">
        <v>1420</v>
      </c>
      <c r="G3" s="157">
        <v>1420</v>
      </c>
      <c r="H3" s="157">
        <v>1420</v>
      </c>
      <c r="I3" s="157">
        <v>1420</v>
      </c>
      <c r="J3" s="38">
        <v>1420</v>
      </c>
      <c r="K3" s="38">
        <v>1420</v>
      </c>
      <c r="L3" s="38">
        <v>1420</v>
      </c>
      <c r="M3" s="38">
        <v>1420</v>
      </c>
      <c r="N3" s="38">
        <v>1420</v>
      </c>
      <c r="O3" s="38">
        <v>1420</v>
      </c>
    </row>
    <row r="4" spans="2:19" x14ac:dyDescent="0.3">
      <c r="B4" s="42" t="s">
        <v>90</v>
      </c>
      <c r="C4" s="42"/>
      <c r="D4" s="42"/>
      <c r="E4" s="158">
        <v>0.05</v>
      </c>
      <c r="F4" s="158">
        <v>0.03</v>
      </c>
      <c r="G4" s="158">
        <v>0.01</v>
      </c>
      <c r="H4" s="158">
        <v>0.01</v>
      </c>
      <c r="I4" s="158">
        <v>0.01</v>
      </c>
      <c r="J4" s="44">
        <v>0.01</v>
      </c>
      <c r="K4" s="44">
        <v>0.01</v>
      </c>
      <c r="L4" s="44">
        <v>0.01</v>
      </c>
      <c r="M4" s="44">
        <v>0.01</v>
      </c>
      <c r="N4" s="44">
        <v>0.01</v>
      </c>
      <c r="O4" s="44">
        <v>0.01</v>
      </c>
      <c r="P4" s="44">
        <v>0.01</v>
      </c>
    </row>
    <row r="5" spans="2:19" x14ac:dyDescent="0.3">
      <c r="B5" s="42" t="s">
        <v>91</v>
      </c>
      <c r="C5" s="42"/>
      <c r="D5" s="42"/>
      <c r="E5" s="167">
        <f t="shared" ref="E5:P5" si="0">$D$30+$D$33*$H$25+E4+$D$36+$D$37</f>
        <v>0.23841242105263155</v>
      </c>
      <c r="F5" s="167">
        <f t="shared" si="0"/>
        <v>0.21841242105263159</v>
      </c>
      <c r="G5" s="167">
        <f t="shared" si="0"/>
        <v>0.19841242105263157</v>
      </c>
      <c r="H5" s="167">
        <f t="shared" si="0"/>
        <v>0.19841242105263157</v>
      </c>
      <c r="I5" s="167">
        <f t="shared" si="0"/>
        <v>0.19841242105263157</v>
      </c>
      <c r="J5" s="167">
        <f t="shared" si="0"/>
        <v>0.19841242105263157</v>
      </c>
      <c r="K5" s="167">
        <f t="shared" si="0"/>
        <v>0.19841242105263157</v>
      </c>
      <c r="L5" s="167">
        <f t="shared" si="0"/>
        <v>0.19841242105263157</v>
      </c>
      <c r="M5" s="167">
        <f t="shared" si="0"/>
        <v>0.19841242105263157</v>
      </c>
      <c r="N5" s="167">
        <f t="shared" si="0"/>
        <v>0.19841242105263157</v>
      </c>
      <c r="O5" s="167">
        <f t="shared" si="0"/>
        <v>0.19841242105263157</v>
      </c>
      <c r="P5" s="167">
        <f t="shared" si="0"/>
        <v>0.19841242105263157</v>
      </c>
    </row>
    <row r="6" spans="2:19" ht="21.6" thickBot="1" x14ac:dyDescent="0.45">
      <c r="B6" s="40" t="s">
        <v>50</v>
      </c>
      <c r="C6" s="41"/>
      <c r="D6" s="41" t="s">
        <v>51</v>
      </c>
      <c r="E6" s="41" t="s">
        <v>79</v>
      </c>
      <c r="F6" s="41" t="s">
        <v>80</v>
      </c>
      <c r="G6" s="41" t="s">
        <v>81</v>
      </c>
      <c r="H6" s="41" t="s">
        <v>82</v>
      </c>
      <c r="I6" s="41" t="s">
        <v>83</v>
      </c>
      <c r="J6" s="41" t="s">
        <v>84</v>
      </c>
      <c r="K6" s="41" t="s">
        <v>85</v>
      </c>
      <c r="L6" s="41" t="s">
        <v>86</v>
      </c>
      <c r="M6" s="41" t="s">
        <v>87</v>
      </c>
      <c r="N6" s="41" t="s">
        <v>88</v>
      </c>
      <c r="O6" s="41" t="s">
        <v>89</v>
      </c>
      <c r="P6" s="41" t="s">
        <v>92</v>
      </c>
    </row>
    <row r="7" spans="2:19" x14ac:dyDescent="0.3">
      <c r="B7" s="38" t="s">
        <v>230</v>
      </c>
      <c r="F7" s="165"/>
      <c r="G7" s="165"/>
      <c r="H7" s="168"/>
      <c r="I7" s="168"/>
      <c r="J7" s="168"/>
      <c r="K7" s="168"/>
      <c r="L7" s="168"/>
      <c r="M7" s="168"/>
      <c r="N7" s="168"/>
      <c r="O7" s="168"/>
      <c r="P7" s="168">
        <f>O7*(1+S10)</f>
        <v>0</v>
      </c>
      <c r="R7" s="47" t="s">
        <v>93</v>
      </c>
      <c r="S7" s="159">
        <v>0.1</v>
      </c>
    </row>
    <row r="8" spans="2:19" x14ac:dyDescent="0.3">
      <c r="B8" s="48"/>
      <c r="C8" s="49"/>
      <c r="D8" s="49"/>
      <c r="E8" s="166"/>
      <c r="F8" s="166"/>
      <c r="G8" s="166"/>
      <c r="H8" s="169"/>
      <c r="I8" s="169"/>
      <c r="J8" s="169"/>
      <c r="K8" s="169"/>
      <c r="L8" s="169"/>
      <c r="M8" s="169"/>
      <c r="N8" s="169"/>
      <c r="O8" s="169"/>
      <c r="P8" s="168">
        <f>P7*(1-S8)</f>
        <v>0</v>
      </c>
      <c r="R8" s="38" t="s">
        <v>94</v>
      </c>
      <c r="S8" s="170">
        <f>S10/S7</f>
        <v>0.3</v>
      </c>
    </row>
    <row r="9" spans="2:19" x14ac:dyDescent="0.3">
      <c r="D9" s="46"/>
      <c r="H9" s="43"/>
      <c r="I9" s="43"/>
      <c r="J9" s="43"/>
      <c r="K9" s="43"/>
      <c r="L9" s="43"/>
      <c r="M9" s="43"/>
      <c r="N9" s="43"/>
      <c r="O9" s="168"/>
    </row>
    <row r="10" spans="2:19" x14ac:dyDescent="0.3">
      <c r="B10" s="48"/>
      <c r="C10" s="49"/>
      <c r="D10" s="49"/>
      <c r="E10" s="169"/>
      <c r="F10" s="169"/>
      <c r="G10" s="169"/>
      <c r="H10" s="169"/>
      <c r="I10" s="169"/>
      <c r="J10" s="169"/>
      <c r="K10" s="169"/>
      <c r="L10" s="169"/>
      <c r="M10" s="169"/>
      <c r="N10" s="169"/>
      <c r="O10" s="169"/>
      <c r="R10" s="50" t="s">
        <v>95</v>
      </c>
      <c r="S10" s="160">
        <v>0.03</v>
      </c>
    </row>
    <row r="11" spans="2:19" x14ac:dyDescent="0.3">
      <c r="D11" s="46"/>
      <c r="E11" s="171"/>
      <c r="F11" s="171"/>
      <c r="G11" s="171"/>
      <c r="H11" s="171"/>
      <c r="I11" s="171"/>
      <c r="J11" s="171"/>
      <c r="K11" s="171"/>
      <c r="L11" s="171"/>
      <c r="M11" s="171"/>
      <c r="N11" s="171"/>
      <c r="O11" s="171"/>
    </row>
    <row r="12" spans="2:19" x14ac:dyDescent="0.3">
      <c r="B12" s="49"/>
      <c r="C12" s="49"/>
      <c r="D12" s="49"/>
      <c r="E12" s="172"/>
      <c r="F12" s="169"/>
      <c r="G12" s="169"/>
      <c r="H12" s="169"/>
      <c r="I12" s="169"/>
      <c r="J12" s="169"/>
      <c r="K12" s="169"/>
      <c r="L12" s="169"/>
      <c r="M12" s="169"/>
      <c r="N12" s="169"/>
      <c r="O12" s="169"/>
    </row>
    <row r="13" spans="2:19" ht="16.2" thickBot="1" x14ac:dyDescent="0.35"/>
    <row r="14" spans="2:19" ht="16.2" thickBot="1" x14ac:dyDescent="0.35">
      <c r="B14" s="52" t="s">
        <v>97</v>
      </c>
      <c r="C14" s="173">
        <f>IF($C$45="ON",C62,C61)</f>
        <v>561457.36848191405</v>
      </c>
      <c r="E14" s="103"/>
      <c r="F14" s="104"/>
    </row>
    <row r="16" spans="2:19" x14ac:dyDescent="0.3">
      <c r="B16" s="45" t="s">
        <v>98</v>
      </c>
      <c r="C16" s="174">
        <f>IF($C$45="ON",C64,C63)</f>
        <v>0.46654033369199444</v>
      </c>
    </row>
    <row r="18" spans="2:18" x14ac:dyDescent="0.3">
      <c r="B18" s="188" t="s">
        <v>260</v>
      </c>
    </row>
    <row r="19" spans="2:18" x14ac:dyDescent="0.3">
      <c r="B19" s="38" t="s">
        <v>261</v>
      </c>
      <c r="C19" s="214">
        <v>132000</v>
      </c>
      <c r="D19" s="38" t="s">
        <v>205</v>
      </c>
      <c r="E19" s="215">
        <v>0.08</v>
      </c>
      <c r="F19" s="38" t="s">
        <v>262</v>
      </c>
      <c r="G19" s="216">
        <v>1</v>
      </c>
    </row>
    <row r="20" spans="2:18" x14ac:dyDescent="0.3">
      <c r="B20" s="53" t="s">
        <v>263</v>
      </c>
      <c r="C20" s="217">
        <f>C19*(1+E19)</f>
        <v>142560</v>
      </c>
      <c r="D20" s="54"/>
      <c r="E20" s="189"/>
      <c r="F20" s="190"/>
      <c r="G20" s="190"/>
      <c r="H20" s="190"/>
      <c r="I20" s="191"/>
      <c r="J20" s="191"/>
      <c r="K20" s="191"/>
      <c r="L20" s="191"/>
      <c r="M20" s="191"/>
      <c r="N20" s="191"/>
      <c r="O20" s="191"/>
      <c r="P20" s="67"/>
      <c r="Q20" s="67"/>
      <c r="R20" s="67"/>
    </row>
    <row r="21" spans="2:18" x14ac:dyDescent="0.3">
      <c r="B21" s="38" t="s">
        <v>264</v>
      </c>
      <c r="C21" s="192">
        <f>C19/'EERR Mensual'!C39</f>
        <v>0.24</v>
      </c>
      <c r="E21" s="193"/>
      <c r="G21" s="194"/>
      <c r="H21" s="55"/>
      <c r="I21" s="68"/>
      <c r="J21" s="68"/>
      <c r="K21" s="68"/>
      <c r="L21" s="68"/>
      <c r="M21" s="68"/>
      <c r="N21" s="68"/>
      <c r="O21" s="68"/>
      <c r="P21" s="68"/>
      <c r="Q21" s="68"/>
      <c r="R21" s="68"/>
    </row>
    <row r="22" spans="2:18" ht="16.2" thickBot="1" x14ac:dyDescent="0.35">
      <c r="B22" s="56" t="s">
        <v>99</v>
      </c>
      <c r="C22" s="56"/>
      <c r="D22" s="56"/>
      <c r="E22" s="56"/>
      <c r="F22" s="56"/>
      <c r="G22" s="56"/>
      <c r="H22" s="56"/>
      <c r="I22" s="45"/>
      <c r="J22" s="45"/>
      <c r="K22" s="45"/>
      <c r="L22" s="45"/>
      <c r="M22" s="45"/>
      <c r="N22" s="45"/>
      <c r="O22" s="45"/>
      <c r="P22" s="45"/>
      <c r="Q22" s="45"/>
      <c r="R22" s="45"/>
    </row>
    <row r="23" spans="2:18" x14ac:dyDescent="0.3">
      <c r="G23" s="55"/>
      <c r="H23" s="55"/>
      <c r="I23" s="55"/>
      <c r="J23" s="68"/>
      <c r="K23" s="68"/>
      <c r="L23" s="68"/>
      <c r="M23" s="68"/>
      <c r="N23" s="68"/>
      <c r="O23" s="68"/>
      <c r="P23" s="68"/>
      <c r="Q23" s="68"/>
      <c r="R23" s="68"/>
    </row>
    <row r="24" spans="2:18" x14ac:dyDescent="0.3">
      <c r="B24" s="38" t="s">
        <v>100</v>
      </c>
      <c r="D24" s="175">
        <f>E19</f>
        <v>0.08</v>
      </c>
      <c r="E24" s="55"/>
      <c r="F24" s="55"/>
      <c r="G24" s="55" t="s">
        <v>101</v>
      </c>
      <c r="H24" s="176">
        <f>D31*(1-D32)</f>
        <v>0.77280000000000004</v>
      </c>
      <c r="K24" s="69"/>
      <c r="L24" s="69"/>
      <c r="M24" s="69"/>
      <c r="N24" s="69"/>
      <c r="O24" s="69"/>
    </row>
    <row r="25" spans="2:18" x14ac:dyDescent="0.3">
      <c r="B25" s="38" t="s">
        <v>102</v>
      </c>
      <c r="D25" s="177">
        <f>+D30+D33*H24+D35</f>
        <v>0.12808944</v>
      </c>
      <c r="E25" s="55"/>
      <c r="F25" s="55"/>
      <c r="G25" s="55" t="s">
        <v>103</v>
      </c>
      <c r="H25" s="176">
        <f>+H24*(1+H26/(1-H26))</f>
        <v>1.016842105263158</v>
      </c>
      <c r="K25" s="58"/>
      <c r="L25" s="58"/>
      <c r="M25" s="58"/>
      <c r="N25" s="58"/>
      <c r="O25" s="58"/>
    </row>
    <row r="26" spans="2:18" x14ac:dyDescent="0.3">
      <c r="B26" s="38" t="s">
        <v>104</v>
      </c>
      <c r="D26" s="177">
        <f>+D30+(D33*H25)+D35+D36+D37</f>
        <v>0.23841242105263155</v>
      </c>
      <c r="E26" s="55"/>
      <c r="F26" s="55"/>
      <c r="G26" s="55" t="s">
        <v>105</v>
      </c>
      <c r="H26" s="161">
        <f>C19/'EERR Mensual'!C39</f>
        <v>0.24</v>
      </c>
      <c r="K26" s="59"/>
      <c r="L26" s="59"/>
      <c r="M26" s="59"/>
      <c r="N26" s="59"/>
      <c r="O26" s="59"/>
    </row>
    <row r="27" spans="2:18" x14ac:dyDescent="0.3">
      <c r="B27" s="38" t="s">
        <v>91</v>
      </c>
      <c r="D27" s="175">
        <f>+(1-H26)*D26+H26*D24*(1-H27)</f>
        <v>0.20039343999999998</v>
      </c>
      <c r="E27" s="55"/>
      <c r="F27" s="55"/>
      <c r="G27" s="55" t="s">
        <v>106</v>
      </c>
      <c r="H27" s="161">
        <v>0</v>
      </c>
      <c r="K27" s="59"/>
      <c r="L27" s="59"/>
      <c r="M27" s="59"/>
      <c r="N27" s="59"/>
      <c r="O27" s="59"/>
    </row>
    <row r="29" spans="2:18" x14ac:dyDescent="0.3">
      <c r="B29" s="60" t="s">
        <v>107</v>
      </c>
      <c r="C29" s="60"/>
      <c r="D29" s="60"/>
    </row>
    <row r="30" spans="2:18" x14ac:dyDescent="0.3">
      <c r="B30" s="38" t="s">
        <v>108</v>
      </c>
      <c r="D30" s="162">
        <v>4.5400000000000003E-2</v>
      </c>
      <c r="G30" s="38" t="s">
        <v>116</v>
      </c>
      <c r="H30" s="175">
        <f>D30</f>
        <v>4.5400000000000003E-2</v>
      </c>
    </row>
    <row r="31" spans="2:18" x14ac:dyDescent="0.3">
      <c r="B31" s="38" t="s">
        <v>109</v>
      </c>
      <c r="D31" s="163">
        <v>0.92</v>
      </c>
      <c r="E31" s="38" t="s">
        <v>110</v>
      </c>
      <c r="G31" s="38" t="s">
        <v>119</v>
      </c>
      <c r="H31" s="178">
        <f>H24</f>
        <v>0.77280000000000004</v>
      </c>
    </row>
    <row r="32" spans="2:18" x14ac:dyDescent="0.3">
      <c r="B32" s="38" t="s">
        <v>111</v>
      </c>
      <c r="D32" s="162">
        <v>0.16</v>
      </c>
      <c r="G32" s="38" t="s">
        <v>120</v>
      </c>
      <c r="H32" s="175">
        <f>D33</f>
        <v>4.2299999999999997E-2</v>
      </c>
    </row>
    <row r="33" spans="2:15" x14ac:dyDescent="0.3">
      <c r="B33" s="38" t="s">
        <v>113</v>
      </c>
      <c r="D33" s="164">
        <v>4.2299999999999997E-2</v>
      </c>
      <c r="E33" s="38" t="s">
        <v>114</v>
      </c>
      <c r="G33" s="38" t="s">
        <v>112</v>
      </c>
      <c r="H33" s="175">
        <f>D35</f>
        <v>0.05</v>
      </c>
    </row>
    <row r="34" spans="2:15" x14ac:dyDescent="0.3">
      <c r="B34" s="38" t="s">
        <v>115</v>
      </c>
      <c r="D34" s="164">
        <v>2.5000000000000001E-3</v>
      </c>
      <c r="G34" s="38" t="s">
        <v>104</v>
      </c>
      <c r="H34" s="175">
        <f>D26</f>
        <v>0.23841242105263155</v>
      </c>
    </row>
    <row r="35" spans="2:15" x14ac:dyDescent="0.3">
      <c r="B35" s="38" t="s">
        <v>117</v>
      </c>
      <c r="D35" s="164">
        <v>0.05</v>
      </c>
      <c r="E35" s="38" t="s">
        <v>118</v>
      </c>
      <c r="G35" s="63" t="s">
        <v>121</v>
      </c>
      <c r="H35" s="179">
        <f>H34</f>
        <v>0.23841242105263155</v>
      </c>
    </row>
    <row r="36" spans="2:15" x14ac:dyDescent="0.3">
      <c r="B36" s="38" t="s">
        <v>122</v>
      </c>
      <c r="D36" s="164">
        <v>0.05</v>
      </c>
    </row>
    <row r="37" spans="2:15" x14ac:dyDescent="0.3">
      <c r="B37" s="38" t="s">
        <v>123</v>
      </c>
      <c r="D37" s="164">
        <v>0.05</v>
      </c>
      <c r="H37" s="57"/>
      <c r="K37" s="57"/>
      <c r="L37" s="57"/>
      <c r="M37" s="57"/>
      <c r="N37" s="57"/>
      <c r="O37" s="57"/>
    </row>
    <row r="38" spans="2:15" x14ac:dyDescent="0.3"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</row>
    <row r="39" spans="2:15" x14ac:dyDescent="0.3">
      <c r="D39" s="65"/>
      <c r="E39" s="62"/>
      <c r="F39" s="62"/>
      <c r="G39" s="62"/>
      <c r="H39" s="62"/>
      <c r="I39" s="62"/>
      <c r="J39" s="62"/>
      <c r="K39" s="62"/>
      <c r="L39" s="62"/>
      <c r="M39" s="62"/>
      <c r="N39" s="62"/>
      <c r="O39" s="62"/>
    </row>
    <row r="40" spans="2:15" x14ac:dyDescent="0.3">
      <c r="B40" s="188" t="s">
        <v>206</v>
      </c>
      <c r="C40" s="188"/>
      <c r="D40" s="201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</row>
    <row r="41" spans="2:15" x14ac:dyDescent="0.3">
      <c r="B41" s="38" t="s">
        <v>207</v>
      </c>
      <c r="C41" s="206">
        <f>'EERR Mensual'!C64</f>
        <v>0</v>
      </c>
      <c r="D41" s="61"/>
      <c r="K41" s="57"/>
      <c r="L41" s="57"/>
      <c r="M41" s="57"/>
      <c r="N41" s="57"/>
      <c r="O41" s="57"/>
    </row>
    <row r="42" spans="2:15" x14ac:dyDescent="0.3">
      <c r="B42" s="38" t="s">
        <v>208</v>
      </c>
      <c r="C42" s="218">
        <f>O5</f>
        <v>0.19841242105263157</v>
      </c>
      <c r="D42" s="61"/>
      <c r="K42" s="64"/>
      <c r="L42" s="64"/>
      <c r="M42" s="64"/>
      <c r="N42" s="64"/>
      <c r="O42" s="64"/>
    </row>
    <row r="43" spans="2:15" x14ac:dyDescent="0.3">
      <c r="B43" s="38" t="s">
        <v>209</v>
      </c>
      <c r="C43" s="195">
        <v>0.1575</v>
      </c>
      <c r="D43" s="61"/>
    </row>
    <row r="44" spans="2:15" x14ac:dyDescent="0.3">
      <c r="B44" s="38" t="s">
        <v>210</v>
      </c>
      <c r="C44" s="57">
        <f>1-'EERR Mensual'!C8-C43</f>
        <v>0.53249999999999997</v>
      </c>
      <c r="F44" s="61"/>
    </row>
    <row r="45" spans="2:15" x14ac:dyDescent="0.3">
      <c r="B45" s="38" t="s">
        <v>211</v>
      </c>
      <c r="C45" s="207" t="str">
        <f>'EERR Mensual'!C65</f>
        <v>OFF</v>
      </c>
      <c r="F45" s="61"/>
    </row>
    <row r="46" spans="2:15" x14ac:dyDescent="0.3">
      <c r="B46" s="38" t="s">
        <v>212</v>
      </c>
      <c r="C46" s="197">
        <f>(SUM('EERR Mensual'!X5:AI5)/'EERR Mensual'!K58)*C44-SUM('EERR Mensual'!X63:AI63)</f>
        <v>855879.61971830984</v>
      </c>
      <c r="F46" s="61"/>
    </row>
    <row r="47" spans="2:15" x14ac:dyDescent="0.3">
      <c r="B47" s="38" t="s">
        <v>213</v>
      </c>
      <c r="C47" s="197">
        <f>('EERR Mensual'!C45*12)/'EERR Mensual'!K58</f>
        <v>126760.56338028169</v>
      </c>
      <c r="F47" s="61"/>
    </row>
    <row r="49" spans="2:15" x14ac:dyDescent="0.3">
      <c r="B49" s="38" t="s">
        <v>214</v>
      </c>
      <c r="E49" s="43">
        <v>0</v>
      </c>
      <c r="F49" s="43">
        <f>SUM('EERR Mensual'!J5:U5)/'EERR Mensual'!K58</f>
        <v>1516251.4788732394</v>
      </c>
      <c r="G49" s="43">
        <f>SUM('EERR Mensual'!X5:AI5)/'EERR Mensual'!K58</f>
        <v>2231825.352112676</v>
      </c>
      <c r="H49" s="43">
        <f t="shared" ref="H49:O49" si="1">G49*(1+$C$41)</f>
        <v>2231825.352112676</v>
      </c>
      <c r="I49" s="43">
        <f t="shared" si="1"/>
        <v>2231825.352112676</v>
      </c>
      <c r="J49" s="43">
        <f t="shared" si="1"/>
        <v>2231825.352112676</v>
      </c>
      <c r="K49" s="43">
        <f t="shared" si="1"/>
        <v>2231825.352112676</v>
      </c>
      <c r="L49" s="43">
        <f t="shared" si="1"/>
        <v>2231825.352112676</v>
      </c>
      <c r="M49" s="43">
        <f t="shared" si="1"/>
        <v>2231825.352112676</v>
      </c>
      <c r="N49" s="43">
        <f t="shared" si="1"/>
        <v>2231825.352112676</v>
      </c>
      <c r="O49" s="43">
        <f t="shared" si="1"/>
        <v>2231825.352112676</v>
      </c>
    </row>
    <row r="50" spans="2:15" x14ac:dyDescent="0.3">
      <c r="B50" s="38" t="s">
        <v>215</v>
      </c>
      <c r="E50" s="43">
        <v>0</v>
      </c>
      <c r="F50" s="43">
        <f>SUM('EERR Mensual'!J63:U63)</f>
        <v>152537.65305164322</v>
      </c>
      <c r="G50" s="43">
        <f>SUM('EERR Mensual'!X63:AI63)</f>
        <v>332567.38028169016</v>
      </c>
      <c r="H50" s="43">
        <f t="shared" ref="H50:O50" si="2">H49*$C$44-$C$46</f>
        <v>332567.38028169016</v>
      </c>
      <c r="I50" s="43">
        <f t="shared" si="2"/>
        <v>332567.38028169016</v>
      </c>
      <c r="J50" s="43">
        <f t="shared" si="2"/>
        <v>332567.38028169016</v>
      </c>
      <c r="K50" s="43">
        <f t="shared" si="2"/>
        <v>332567.38028169016</v>
      </c>
      <c r="L50" s="43">
        <f t="shared" si="2"/>
        <v>332567.38028169016</v>
      </c>
      <c r="M50" s="43">
        <f t="shared" si="2"/>
        <v>332567.38028169016</v>
      </c>
      <c r="N50" s="43">
        <f t="shared" si="2"/>
        <v>332567.38028169016</v>
      </c>
      <c r="O50" s="43">
        <f t="shared" si="2"/>
        <v>332567.38028169016</v>
      </c>
    </row>
    <row r="51" spans="2:15" x14ac:dyDescent="0.3">
      <c r="B51" s="38" t="s">
        <v>216</v>
      </c>
      <c r="E51" s="43">
        <v>0</v>
      </c>
      <c r="F51" s="43">
        <f>MAX(0,F50)*'EERR Mensual'!$C$30</f>
        <v>7626.8826525821614</v>
      </c>
      <c r="G51" s="43">
        <f>MAX(0,G50)*'EERR Mensual'!$C$30</f>
        <v>16628.36901408451</v>
      </c>
      <c r="H51" s="43">
        <f>MAX(0,H50)*'EERR Mensual'!$C$30</f>
        <v>16628.36901408451</v>
      </c>
      <c r="I51" s="43">
        <f>MAX(0,I50)*'EERR Mensual'!$C$30</f>
        <v>16628.36901408451</v>
      </c>
      <c r="J51" s="43">
        <f>MAX(0,J50)*'EERR Mensual'!$C$30</f>
        <v>16628.36901408451</v>
      </c>
      <c r="K51" s="43">
        <f>MAX(0,K50)*'EERR Mensual'!$C$30</f>
        <v>16628.36901408451</v>
      </c>
      <c r="L51" s="43">
        <f>MAX(0,L50)*'EERR Mensual'!$C$30</f>
        <v>16628.36901408451</v>
      </c>
      <c r="M51" s="43">
        <f>MAX(0,M50)*'EERR Mensual'!$C$30</f>
        <v>16628.36901408451</v>
      </c>
      <c r="N51" s="43">
        <f>MAX(0,N50)*'EERR Mensual'!$C$30</f>
        <v>16628.36901408451</v>
      </c>
      <c r="O51" s="43">
        <f>MAX(0,O50)*'EERR Mensual'!$C$30</f>
        <v>16628.36901408451</v>
      </c>
    </row>
    <row r="52" spans="2:15" x14ac:dyDescent="0.3">
      <c r="B52" s="38" t="s">
        <v>217</v>
      </c>
      <c r="E52" s="43">
        <v>0</v>
      </c>
      <c r="F52" s="43">
        <f>F49*'EERR Mensual'!$C$32</f>
        <v>22743.77218309859</v>
      </c>
      <c r="G52" s="43">
        <f>G49*'EERR Mensual'!$C$32</f>
        <v>33477.380281690137</v>
      </c>
      <c r="H52" s="43">
        <f>H49*'EERR Mensual'!$C$32</f>
        <v>33477.380281690137</v>
      </c>
      <c r="I52" s="43">
        <f>I49*'EERR Mensual'!$C$32</f>
        <v>33477.380281690137</v>
      </c>
      <c r="J52" s="43">
        <f>J49*'EERR Mensual'!$C$32</f>
        <v>33477.380281690137</v>
      </c>
      <c r="K52" s="43">
        <f>K49*'EERR Mensual'!$C$32</f>
        <v>33477.380281690137</v>
      </c>
      <c r="L52" s="43">
        <f>L49*'EERR Mensual'!$C$32</f>
        <v>33477.380281690137</v>
      </c>
      <c r="M52" s="43">
        <f>M49*'EERR Mensual'!$C$32</f>
        <v>33477.380281690137</v>
      </c>
      <c r="N52" s="43">
        <f>N49*'EERR Mensual'!$C$32</f>
        <v>33477.380281690137</v>
      </c>
      <c r="O52" s="43">
        <f>O49*'EERR Mensual'!$C$32</f>
        <v>33477.380281690137</v>
      </c>
    </row>
    <row r="53" spans="2:15" x14ac:dyDescent="0.3">
      <c r="B53" s="38" t="s">
        <v>218</v>
      </c>
      <c r="E53" s="43">
        <v>0</v>
      </c>
      <c r="F53" s="43">
        <f>(('EERR Mensual'!$F$67+'EERR Mensual'!$F$70)/365)*F49-('EERR Mensual'!$F$72/365)*(F49-F50-$C$47)</f>
        <v>-43509.800463052285</v>
      </c>
      <c r="G53" s="43">
        <f>(('EERR Mensual'!$F$67+'EERR Mensual'!$F$70)/365)*G49-('EERR Mensual'!$F$72/365)*(G49-G50-$C$47)</f>
        <v>-60080.45842176344</v>
      </c>
      <c r="H53" s="43">
        <f>(('EERR Mensual'!$F$67+'EERR Mensual'!$F$70)/365)*H49-('EERR Mensual'!$F$72/365)*(H49-H50-$C$47)</f>
        <v>-60080.45842176344</v>
      </c>
      <c r="I53" s="43">
        <f>(('EERR Mensual'!$F$67+'EERR Mensual'!$F$70)/365)*I49-('EERR Mensual'!$F$72/365)*(I49-I50-$C$47)</f>
        <v>-60080.45842176344</v>
      </c>
      <c r="J53" s="43">
        <f>(('EERR Mensual'!$F$67+'EERR Mensual'!$F$70)/365)*J49-('EERR Mensual'!$F$72/365)*(J49-J50-$C$47)</f>
        <v>-60080.45842176344</v>
      </c>
      <c r="K53" s="43">
        <f>(('EERR Mensual'!$F$67+'EERR Mensual'!$F$70)/365)*K49-('EERR Mensual'!$F$72/365)*(K49-K50-$C$47)</f>
        <v>-60080.45842176344</v>
      </c>
      <c r="L53" s="43">
        <f>(('EERR Mensual'!$F$67+'EERR Mensual'!$F$70)/365)*L49-('EERR Mensual'!$F$72/365)*(L49-L50-$C$47)</f>
        <v>-60080.45842176344</v>
      </c>
      <c r="M53" s="43">
        <f>(('EERR Mensual'!$F$67+'EERR Mensual'!$F$70)/365)*M49-('EERR Mensual'!$F$72/365)*(M49-M50-$C$47)</f>
        <v>-60080.45842176344</v>
      </c>
      <c r="N53" s="43">
        <f>(('EERR Mensual'!$F$67+'EERR Mensual'!$F$70)/365)*N49-('EERR Mensual'!$F$72/365)*(N49-N50-$C$47)</f>
        <v>-60080.45842176344</v>
      </c>
      <c r="O53" s="43">
        <f>(('EERR Mensual'!$F$67+'EERR Mensual'!$F$70)/365)*O49-('EERR Mensual'!$F$72/365)*(O49-O50-$C$47)</f>
        <v>-60080.45842176344</v>
      </c>
    </row>
    <row r="54" spans="2:15" x14ac:dyDescent="0.3">
      <c r="B54" s="38" t="s">
        <v>219</v>
      </c>
      <c r="E54" s="43">
        <v>0</v>
      </c>
      <c r="F54" s="43">
        <f>F53</f>
        <v>-43509.800463052285</v>
      </c>
      <c r="G54" s="43">
        <f t="shared" ref="G54:O54" si="3">G53-F53</f>
        <v>-16570.657958711156</v>
      </c>
      <c r="H54" s="43">
        <f t="shared" si="3"/>
        <v>0</v>
      </c>
      <c r="I54" s="43">
        <f t="shared" si="3"/>
        <v>0</v>
      </c>
      <c r="J54" s="43">
        <f t="shared" si="3"/>
        <v>0</v>
      </c>
      <c r="K54" s="43">
        <f t="shared" si="3"/>
        <v>0</v>
      </c>
      <c r="L54" s="43">
        <f t="shared" si="3"/>
        <v>0</v>
      </c>
      <c r="M54" s="43">
        <f t="shared" si="3"/>
        <v>0</v>
      </c>
      <c r="N54" s="43">
        <f t="shared" si="3"/>
        <v>0</v>
      </c>
      <c r="O54" s="43">
        <f t="shared" si="3"/>
        <v>0</v>
      </c>
    </row>
    <row r="55" spans="2:15" x14ac:dyDescent="0.3">
      <c r="B55" s="45" t="s">
        <v>220</v>
      </c>
      <c r="C55" s="45"/>
      <c r="D55" s="45"/>
      <c r="E55" s="200">
        <f>'EERR Mensual'!I78+$C$19</f>
        <v>-418000</v>
      </c>
      <c r="F55" s="200">
        <f>'EERR Mensual'!U87-$C$19*(1+$E$19)</f>
        <v>15569.970164319267</v>
      </c>
      <c r="G55" s="200">
        <f t="shared" ref="G55:O55" si="4">(G50-G51)-G52-G54</f>
        <v>299032.28894462663</v>
      </c>
      <c r="H55" s="200">
        <f t="shared" si="4"/>
        <v>282461.63098591549</v>
      </c>
      <c r="I55" s="200">
        <f t="shared" si="4"/>
        <v>282461.63098591549</v>
      </c>
      <c r="J55" s="200">
        <f t="shared" si="4"/>
        <v>282461.63098591549</v>
      </c>
      <c r="K55" s="200">
        <f t="shared" si="4"/>
        <v>282461.63098591549</v>
      </c>
      <c r="L55" s="200">
        <f t="shared" si="4"/>
        <v>282461.63098591549</v>
      </c>
      <c r="M55" s="200">
        <f t="shared" si="4"/>
        <v>282461.63098591549</v>
      </c>
      <c r="N55" s="200">
        <f t="shared" si="4"/>
        <v>282461.63098591549</v>
      </c>
      <c r="O55" s="200">
        <f t="shared" si="4"/>
        <v>282461.63098591549</v>
      </c>
    </row>
    <row r="56" spans="2:15" x14ac:dyDescent="0.3">
      <c r="B56" s="38" t="s">
        <v>96</v>
      </c>
      <c r="E56" s="51">
        <f t="shared" ref="E56:O56" si="5">1/(1+$C$42)^E1</f>
        <v>1</v>
      </c>
      <c r="F56" s="51">
        <f t="shared" si="5"/>
        <v>0.83443727921448352</v>
      </c>
      <c r="G56" s="51">
        <f t="shared" si="5"/>
        <v>0.69628557294286997</v>
      </c>
      <c r="H56" s="51">
        <f t="shared" si="5"/>
        <v>0.58100663904274619</v>
      </c>
      <c r="I56" s="51">
        <f t="shared" si="5"/>
        <v>0.48481359908838068</v>
      </c>
      <c r="J56" s="51">
        <f t="shared" si="5"/>
        <v>0.4045465405494898</v>
      </c>
      <c r="K56" s="51">
        <f t="shared" si="5"/>
        <v>0.33756871461174798</v>
      </c>
      <c r="L56" s="51">
        <f t="shared" si="5"/>
        <v>0.28167991976855744</v>
      </c>
      <c r="M56" s="51">
        <f t="shared" si="5"/>
        <v>0.2350442258610291</v>
      </c>
      <c r="N56" s="51">
        <f t="shared" si="5"/>
        <v>0.19612966432255169</v>
      </c>
      <c r="O56" s="51">
        <f t="shared" si="5"/>
        <v>0.16365790347056</v>
      </c>
    </row>
    <row r="57" spans="2:15" x14ac:dyDescent="0.3">
      <c r="B57" s="38" t="s">
        <v>221</v>
      </c>
      <c r="E57" s="43">
        <f t="shared" ref="E57:O57" si="6">E55*E56</f>
        <v>-418000</v>
      </c>
      <c r="F57" s="43">
        <f t="shared" si="6"/>
        <v>12992.163541365255</v>
      </c>
      <c r="G57" s="43">
        <f t="shared" si="6"/>
        <v>208211.86863622718</v>
      </c>
      <c r="H57" s="43">
        <f t="shared" si="6"/>
        <v>164112.08287765918</v>
      </c>
      <c r="I57" s="43">
        <f t="shared" si="6"/>
        <v>136941.23992265575</v>
      </c>
      <c r="J57" s="43">
        <f t="shared" si="6"/>
        <v>114268.87565331868</v>
      </c>
      <c r="K57" s="43">
        <f t="shared" si="6"/>
        <v>95350.209699053376</v>
      </c>
      <c r="L57" s="43">
        <f t="shared" si="6"/>
        <v>79563.769553808554</v>
      </c>
      <c r="M57" s="43">
        <f t="shared" si="6"/>
        <v>66390.975390528183</v>
      </c>
      <c r="N57" s="43">
        <f t="shared" si="6"/>
        <v>55399.104869268071</v>
      </c>
      <c r="O57" s="43">
        <f t="shared" si="6"/>
        <v>46227.078338029896</v>
      </c>
    </row>
    <row r="58" spans="2:15" x14ac:dyDescent="0.3">
      <c r="B58" s="38" t="s">
        <v>222</v>
      </c>
      <c r="E58" s="43">
        <v>0</v>
      </c>
      <c r="F58" s="43">
        <v>0</v>
      </c>
      <c r="G58" s="43">
        <v>0</v>
      </c>
      <c r="H58" s="43">
        <v>0</v>
      </c>
      <c r="I58" s="43">
        <v>0</v>
      </c>
      <c r="J58" s="43">
        <v>0</v>
      </c>
      <c r="K58" s="43">
        <v>0</v>
      </c>
      <c r="L58" s="43">
        <v>0</v>
      </c>
      <c r="M58" s="43">
        <v>0</v>
      </c>
      <c r="N58" s="43">
        <v>0</v>
      </c>
      <c r="O58" s="43">
        <f>IF($C$45="ON",O55*(1+$C$41)/($C$42-$C$41),0)</f>
        <v>0</v>
      </c>
    </row>
    <row r="59" spans="2:15" x14ac:dyDescent="0.3">
      <c r="B59" s="38" t="s">
        <v>223</v>
      </c>
      <c r="E59" s="43">
        <f>E55</f>
        <v>-418000</v>
      </c>
      <c r="F59" s="43">
        <f t="shared" ref="E59:N59" si="7">F55</f>
        <v>15569.970164319267</v>
      </c>
      <c r="G59" s="43">
        <f t="shared" si="7"/>
        <v>299032.28894462663</v>
      </c>
      <c r="H59" s="43">
        <f t="shared" si="7"/>
        <v>282461.63098591549</v>
      </c>
      <c r="I59" s="43">
        <f t="shared" si="7"/>
        <v>282461.63098591549</v>
      </c>
      <c r="J59" s="43">
        <f t="shared" si="7"/>
        <v>282461.63098591549</v>
      </c>
      <c r="K59" s="43">
        <f t="shared" si="7"/>
        <v>282461.63098591549</v>
      </c>
      <c r="L59" s="43">
        <f t="shared" si="7"/>
        <v>282461.63098591549</v>
      </c>
      <c r="M59" s="43">
        <f t="shared" si="7"/>
        <v>282461.63098591549</v>
      </c>
      <c r="N59" s="43">
        <f t="shared" si="7"/>
        <v>282461.63098591549</v>
      </c>
      <c r="O59" s="43">
        <f>O55+O58</f>
        <v>282461.63098591549</v>
      </c>
    </row>
    <row r="60" spans="2:15" x14ac:dyDescent="0.3">
      <c r="B60" s="38" t="s">
        <v>224</v>
      </c>
      <c r="E60" s="43">
        <f>E55</f>
        <v>-418000</v>
      </c>
      <c r="F60" s="43">
        <f t="shared" ref="F60:O60" si="8">E60+F55</f>
        <v>-402430.02983568073</v>
      </c>
      <c r="G60" s="43">
        <f t="shared" si="8"/>
        <v>-103397.7408910541</v>
      </c>
      <c r="H60" s="43">
        <f t="shared" si="8"/>
        <v>179063.89009486139</v>
      </c>
      <c r="I60" s="43">
        <f t="shared" si="8"/>
        <v>461525.52108077687</v>
      </c>
      <c r="J60" s="43">
        <f t="shared" si="8"/>
        <v>743987.15206669236</v>
      </c>
      <c r="K60" s="43">
        <f t="shared" si="8"/>
        <v>1026448.7830526079</v>
      </c>
      <c r="L60" s="43">
        <f t="shared" si="8"/>
        <v>1308910.4140385233</v>
      </c>
      <c r="M60" s="43">
        <f t="shared" si="8"/>
        <v>1591372.0450244388</v>
      </c>
      <c r="N60" s="43">
        <f t="shared" si="8"/>
        <v>1873833.6760103542</v>
      </c>
      <c r="O60" s="43">
        <f t="shared" si="8"/>
        <v>2156295.3069962696</v>
      </c>
    </row>
    <row r="61" spans="2:15" x14ac:dyDescent="0.3">
      <c r="B61" s="45" t="s">
        <v>225</v>
      </c>
      <c r="C61" s="198">
        <f>SUM(E57:O57)</f>
        <v>561457.36848191405</v>
      </c>
    </row>
    <row r="62" spans="2:15" x14ac:dyDescent="0.3">
      <c r="B62" s="45" t="s">
        <v>226</v>
      </c>
      <c r="C62" s="198">
        <f>C61+O58*O56</f>
        <v>561457.36848191405</v>
      </c>
    </row>
    <row r="63" spans="2:15" x14ac:dyDescent="0.3">
      <c r="B63" s="45" t="s">
        <v>227</v>
      </c>
      <c r="C63" s="193">
        <f>IRR(E55:O55)</f>
        <v>0.46654033369199444</v>
      </c>
    </row>
    <row r="64" spans="2:15" x14ac:dyDescent="0.3">
      <c r="B64" s="45" t="s">
        <v>228</v>
      </c>
      <c r="C64" s="193">
        <f>IRR(E59:O59)</f>
        <v>0.46654033369199444</v>
      </c>
    </row>
    <row r="65" spans="2:15" x14ac:dyDescent="0.3">
      <c r="B65" s="45" t="s">
        <v>135</v>
      </c>
      <c r="C65" s="199" cm="1">
        <f t="array" ref="C65">((C66-1)+(-INDEX(E60:O60,C66))/INDEX(E55:O55,C66+1))*12</f>
        <v>28.392713043402761</v>
      </c>
    </row>
    <row r="66" spans="2:15" x14ac:dyDescent="0.3">
      <c r="B66" s="38" t="s">
        <v>229</v>
      </c>
      <c r="C66" s="38">
        <f>COUNTIF(E60:O60,"&lt;0")</f>
        <v>3</v>
      </c>
    </row>
    <row r="68" spans="2:15" x14ac:dyDescent="0.3">
      <c r="B68" s="188" t="s">
        <v>249</v>
      </c>
      <c r="C68" s="188"/>
      <c r="D68" s="188"/>
      <c r="E68" s="188"/>
      <c r="F68" s="188"/>
      <c r="G68" s="188"/>
      <c r="H68" s="188"/>
      <c r="I68" s="188"/>
      <c r="J68" s="188"/>
      <c r="K68" s="188"/>
      <c r="L68" s="188"/>
      <c r="M68" s="188"/>
      <c r="N68" s="188"/>
      <c r="O68" s="188"/>
    </row>
    <row r="69" spans="2:15" x14ac:dyDescent="0.3">
      <c r="B69" s="38" t="s">
        <v>250</v>
      </c>
      <c r="C69" s="212">
        <v>70000000</v>
      </c>
    </row>
    <row r="70" spans="2:15" x14ac:dyDescent="0.3">
      <c r="B70" s="38" t="s">
        <v>251</v>
      </c>
      <c r="C70" s="196">
        <v>2</v>
      </c>
    </row>
    <row r="71" spans="2:15" x14ac:dyDescent="0.3">
      <c r="B71" s="38" t="s">
        <v>257</v>
      </c>
      <c r="C71" s="213">
        <v>0.7</v>
      </c>
    </row>
    <row r="72" spans="2:15" x14ac:dyDescent="0.3">
      <c r="B72" s="38" t="s">
        <v>252</v>
      </c>
      <c r="E72" s="38">
        <f t="shared" ref="E72:O72" si="9">IF(AND(MOD(E1,$C$70)=0,E1&gt;=$C$70),1,0)</f>
        <v>0</v>
      </c>
      <c r="F72" s="38">
        <f t="shared" si="9"/>
        <v>0</v>
      </c>
      <c r="G72" s="38">
        <f t="shared" si="9"/>
        <v>1</v>
      </c>
      <c r="H72" s="38">
        <f t="shared" si="9"/>
        <v>0</v>
      </c>
      <c r="I72" s="38">
        <f t="shared" si="9"/>
        <v>1</v>
      </c>
      <c r="J72" s="38">
        <f t="shared" si="9"/>
        <v>0</v>
      </c>
      <c r="K72" s="38">
        <f t="shared" si="9"/>
        <v>1</v>
      </c>
      <c r="L72" s="38">
        <f t="shared" si="9"/>
        <v>0</v>
      </c>
      <c r="M72" s="38">
        <f t="shared" si="9"/>
        <v>1</v>
      </c>
      <c r="N72" s="38">
        <f t="shared" si="9"/>
        <v>0</v>
      </c>
      <c r="O72" s="38">
        <f t="shared" si="9"/>
        <v>1</v>
      </c>
    </row>
    <row r="73" spans="2:15" x14ac:dyDescent="0.3">
      <c r="B73" s="38" t="s">
        <v>258</v>
      </c>
      <c r="E73" s="43">
        <f>E72*$C$71^(E1/$C$70-1)*($C$69/'EERR Mensual'!$K$58)*(1-'EERR Mensual'!$C$30)</f>
        <v>0</v>
      </c>
      <c r="F73" s="43">
        <f>F72*$C$71^(F1/$C$70-1)*($C$69/'EERR Mensual'!$K$58)*(1-'EERR Mensual'!$C$30)</f>
        <v>0</v>
      </c>
      <c r="G73" s="43">
        <f>G72*$C$71^(G1/$C$70-1)*($C$69/'EERR Mensual'!$K$58)*(1-'EERR Mensual'!$C$30)</f>
        <v>46830.985915492958</v>
      </c>
      <c r="H73" s="43">
        <f>H72*$C$71^(H1/$C$70-1)*($C$69/'EERR Mensual'!$K$58)*(1-'EERR Mensual'!$C$30)</f>
        <v>0</v>
      </c>
      <c r="I73" s="43">
        <f>I72*$C$71^(I1/$C$70-1)*($C$69/'EERR Mensual'!$K$58)*(1-'EERR Mensual'!$C$30)</f>
        <v>32781.690140845065</v>
      </c>
      <c r="J73" s="43">
        <f>J72*$C$71^(J1/$C$70-1)*($C$69/'EERR Mensual'!$K$58)*(1-'EERR Mensual'!$C$30)</f>
        <v>0</v>
      </c>
      <c r="K73" s="43">
        <f>K72*$C$71^(K1/$C$70-1)*($C$69/'EERR Mensual'!$K$58)*(1-'EERR Mensual'!$C$30)</f>
        <v>22947.183098591544</v>
      </c>
      <c r="L73" s="43">
        <f>L72*$C$71^(L1/$C$70-1)*($C$69/'EERR Mensual'!$K$58)*(1-'EERR Mensual'!$C$30)</f>
        <v>0</v>
      </c>
      <c r="M73" s="43">
        <f>M72*$C$71^(M1/$C$70-1)*($C$69/'EERR Mensual'!$K$58)*(1-'EERR Mensual'!$C$30)</f>
        <v>16063.028169014078</v>
      </c>
      <c r="N73" s="43">
        <f>N72*$C$71^(N1/$C$70-1)*($C$69/'EERR Mensual'!$K$58)*(1-'EERR Mensual'!$C$30)</f>
        <v>0</v>
      </c>
      <c r="O73" s="43">
        <f>O72*$C$71^(O1/$C$70-1)*($C$69/'EERR Mensual'!$K$58)*(1-'EERR Mensual'!$C$30)</f>
        <v>11244.119718309856</v>
      </c>
    </row>
    <row r="74" spans="2:15" x14ac:dyDescent="0.3">
      <c r="B74" s="38" t="s">
        <v>253</v>
      </c>
      <c r="E74" s="43">
        <f t="shared" ref="E74:O74" si="10">E73/(1+$C$42)^E1</f>
        <v>0</v>
      </c>
      <c r="F74" s="43">
        <f t="shared" si="10"/>
        <v>0</v>
      </c>
      <c r="G74" s="43">
        <f t="shared" si="10"/>
        <v>32607.739859648489</v>
      </c>
      <c r="H74" s="43">
        <f t="shared" si="10"/>
        <v>0</v>
      </c>
      <c r="I74" s="43">
        <f t="shared" si="10"/>
        <v>15893.00918138318</v>
      </c>
      <c r="J74" s="43">
        <f t="shared" si="10"/>
        <v>0</v>
      </c>
      <c r="K74" s="43">
        <f t="shared" si="10"/>
        <v>7746.2511025519752</v>
      </c>
      <c r="L74" s="43">
        <f t="shared" si="10"/>
        <v>0</v>
      </c>
      <c r="M74" s="43">
        <f t="shared" si="10"/>
        <v>3775.5220209698177</v>
      </c>
      <c r="N74" s="43">
        <f t="shared" si="10"/>
        <v>0</v>
      </c>
      <c r="O74" s="43">
        <f t="shared" si="10"/>
        <v>1840.1890594705746</v>
      </c>
    </row>
    <row r="75" spans="2:15" x14ac:dyDescent="0.3">
      <c r="B75" s="38" t="s">
        <v>259</v>
      </c>
      <c r="E75" s="43">
        <f>E72*$C$71^(E1/$C$70-1)*($C$69*'EERR Mensual'!$C$8/'EERR Mensual'!$K$58)*(1-'EERR Mensual'!$C$30)</f>
        <v>0</v>
      </c>
      <c r="F75" s="43">
        <f>F72*$C$71^(F1/$C$70-1)*($C$69*'EERR Mensual'!$C$8/'EERR Mensual'!$K$58)*(1-'EERR Mensual'!$C$30)</f>
        <v>0</v>
      </c>
      <c r="G75" s="43">
        <f>G72*$C$71^(G1/$C$70-1)*($C$69*'EERR Mensual'!$C$8/'EERR Mensual'!$K$58)*(1-'EERR Mensual'!$C$30)</f>
        <v>14517.605633802816</v>
      </c>
      <c r="H75" s="43">
        <f>H72*$C$71^(H1/$C$70-1)*($C$69*'EERR Mensual'!$C$8/'EERR Mensual'!$K$58)*(1-'EERR Mensual'!$C$30)</f>
        <v>0</v>
      </c>
      <c r="I75" s="43">
        <f>I72*$C$71^(I1/$C$70-1)*($C$69*'EERR Mensual'!$C$8/'EERR Mensual'!$K$58)*(1-'EERR Mensual'!$C$30)</f>
        <v>10162.323943661971</v>
      </c>
      <c r="J75" s="43">
        <f>J72*$C$71^(J1/$C$70-1)*($C$69*'EERR Mensual'!$C$8/'EERR Mensual'!$K$58)*(1-'EERR Mensual'!$C$30)</f>
        <v>0</v>
      </c>
      <c r="K75" s="43">
        <f>K72*$C$71^(K1/$C$70-1)*($C$69*'EERR Mensual'!$C$8/'EERR Mensual'!$K$58)*(1-'EERR Mensual'!$C$30)</f>
        <v>7113.6267605633793</v>
      </c>
      <c r="L75" s="43">
        <f>L72*$C$71^(L1/$C$70-1)*($C$69*'EERR Mensual'!$C$8/'EERR Mensual'!$K$58)*(1-'EERR Mensual'!$C$30)</f>
        <v>0</v>
      </c>
      <c r="M75" s="43">
        <f>M72*$C$71^(M1/$C$70-1)*($C$69*'EERR Mensual'!$C$8/'EERR Mensual'!$K$58)*(1-'EERR Mensual'!$C$30)</f>
        <v>4979.5387323943642</v>
      </c>
      <c r="N75" s="43">
        <f>N72*$C$71^(N1/$C$70-1)*($C$69*'EERR Mensual'!$C$8/'EERR Mensual'!$K$58)*(1-'EERR Mensual'!$C$30)</f>
        <v>0</v>
      </c>
      <c r="O75" s="43">
        <f>O72*$C$71^(O1/$C$70-1)*($C$69*'EERR Mensual'!$C$8/'EERR Mensual'!$K$58)*(1-'EERR Mensual'!$C$30)</f>
        <v>3485.677112676055</v>
      </c>
    </row>
    <row r="76" spans="2:15" x14ac:dyDescent="0.3">
      <c r="B76" s="38" t="s">
        <v>254</v>
      </c>
      <c r="E76" s="43">
        <f t="shared" ref="E76:O76" si="11">E75/(1+$C$42)^E1</f>
        <v>0</v>
      </c>
      <c r="F76" s="43">
        <f t="shared" si="11"/>
        <v>0</v>
      </c>
      <c r="G76" s="43">
        <f t="shared" si="11"/>
        <v>10108.399356491031</v>
      </c>
      <c r="H76" s="43">
        <f t="shared" si="11"/>
        <v>0</v>
      </c>
      <c r="I76" s="43">
        <f t="shared" si="11"/>
        <v>4926.8328462287864</v>
      </c>
      <c r="J76" s="43">
        <f t="shared" si="11"/>
        <v>0</v>
      </c>
      <c r="K76" s="43">
        <f t="shared" si="11"/>
        <v>2401.3378417911126</v>
      </c>
      <c r="L76" s="43">
        <f t="shared" si="11"/>
        <v>0</v>
      </c>
      <c r="M76" s="43">
        <f t="shared" si="11"/>
        <v>1170.4118265006434</v>
      </c>
      <c r="N76" s="43">
        <f t="shared" si="11"/>
        <v>0</v>
      </c>
      <c r="O76" s="43">
        <f t="shared" si="11"/>
        <v>570.45860843587809</v>
      </c>
    </row>
    <row r="79" spans="2:15" x14ac:dyDescent="0.3">
      <c r="B79" s="45" t="s">
        <v>255</v>
      </c>
      <c r="C79" s="198">
        <f>SUM(E74:O74)</f>
        <v>61862.711224024039</v>
      </c>
    </row>
    <row r="80" spans="2:15" x14ac:dyDescent="0.3">
      <c r="B80" s="45" t="s">
        <v>256</v>
      </c>
      <c r="C80" s="198">
        <f>SUM(E76:O76)</f>
        <v>19177.44047944745</v>
      </c>
    </row>
    <row r="83" spans="2:15" x14ac:dyDescent="0.3">
      <c r="B83" s="35" t="s">
        <v>272</v>
      </c>
      <c r="C83"/>
      <c r="D83"/>
      <c r="E83"/>
      <c r="F83"/>
      <c r="G83"/>
      <c r="H83"/>
      <c r="I83"/>
      <c r="J83"/>
      <c r="K83"/>
      <c r="L83"/>
      <c r="M83"/>
      <c r="N83"/>
      <c r="O83"/>
    </row>
    <row r="84" spans="2:15" x14ac:dyDescent="0.3">
      <c r="B84" t="s">
        <v>273</v>
      </c>
      <c r="C84" s="221">
        <v>550000</v>
      </c>
      <c r="D84"/>
      <c r="E84"/>
      <c r="F84"/>
      <c r="G84"/>
      <c r="H84"/>
      <c r="I84"/>
      <c r="J84"/>
      <c r="K84"/>
      <c r="L84"/>
      <c r="M84"/>
      <c r="N84"/>
      <c r="O84"/>
    </row>
    <row r="85" spans="2:15" x14ac:dyDescent="0.3">
      <c r="B85" t="s">
        <v>274</v>
      </c>
      <c r="C85" s="221">
        <v>106000</v>
      </c>
      <c r="D85"/>
      <c r="E85"/>
      <c r="F85"/>
      <c r="G85"/>
      <c r="H85"/>
      <c r="I85"/>
      <c r="J85"/>
      <c r="K85"/>
      <c r="L85"/>
      <c r="M85"/>
      <c r="N85"/>
      <c r="O85"/>
    </row>
    <row r="86" spans="2:15" x14ac:dyDescent="0.3">
      <c r="B86" t="s">
        <v>269</v>
      </c>
      <c r="C86" s="222">
        <v>0.15</v>
      </c>
      <c r="D86"/>
      <c r="E86"/>
      <c r="F86"/>
      <c r="G86"/>
      <c r="H86"/>
      <c r="I86"/>
      <c r="J86"/>
      <c r="K86"/>
      <c r="L86"/>
      <c r="M86"/>
      <c r="N86"/>
      <c r="O86"/>
    </row>
    <row r="87" spans="2:15" x14ac:dyDescent="0.3">
      <c r="B87" s="223" t="s">
        <v>275</v>
      </c>
      <c r="C87" s="224">
        <f>C85*C86</f>
        <v>15900</v>
      </c>
      <c r="D87"/>
      <c r="E87"/>
      <c r="F87"/>
      <c r="G87"/>
      <c r="H87"/>
      <c r="I87"/>
      <c r="J87"/>
      <c r="K87"/>
      <c r="L87"/>
      <c r="M87"/>
      <c r="N87"/>
      <c r="O87"/>
    </row>
    <row r="88" spans="2:15" x14ac:dyDescent="0.3">
      <c r="B88" t="s">
        <v>265</v>
      </c>
      <c r="C88"/>
      <c r="D88"/>
      <c r="E88" s="225">
        <f>-C84+C85</f>
        <v>-444000</v>
      </c>
      <c r="F88" s="224">
        <f>'EERR Mensual'!U87-$C$87</f>
        <v>142229.97016431927</v>
      </c>
      <c r="G88" s="27">
        <f t="shared" ref="G88:N88" si="12">G55-$C$87</f>
        <v>283132.28894462663</v>
      </c>
      <c r="H88" s="27">
        <f t="shared" si="12"/>
        <v>266561.63098591549</v>
      </c>
      <c r="I88" s="27">
        <f t="shared" si="12"/>
        <v>266561.63098591549</v>
      </c>
      <c r="J88" s="27">
        <f t="shared" si="12"/>
        <v>266561.63098591549</v>
      </c>
      <c r="K88" s="27">
        <f t="shared" si="12"/>
        <v>266561.63098591549</v>
      </c>
      <c r="L88" s="27">
        <f t="shared" si="12"/>
        <v>266561.63098591549</v>
      </c>
      <c r="M88" s="27">
        <f t="shared" si="12"/>
        <v>266561.63098591549</v>
      </c>
      <c r="N88" s="27">
        <f t="shared" si="12"/>
        <v>266561.63098591549</v>
      </c>
      <c r="O88" s="27">
        <f>O55-$C$87-$C$85</f>
        <v>160561.63098591549</v>
      </c>
    </row>
    <row r="89" spans="2:15" x14ac:dyDescent="0.3">
      <c r="B89" t="s">
        <v>266</v>
      </c>
      <c r="C89"/>
      <c r="D89"/>
      <c r="E89" s="225">
        <f t="shared" ref="E89:O89" si="13">E88*E56</f>
        <v>-444000</v>
      </c>
      <c r="F89" s="225">
        <f t="shared" si="13"/>
        <v>118681.98932667174</v>
      </c>
      <c r="G89" s="225">
        <f t="shared" si="13"/>
        <v>197140.92802643558</v>
      </c>
      <c r="H89" s="225">
        <f t="shared" si="13"/>
        <v>154874.0773168795</v>
      </c>
      <c r="I89" s="225">
        <f t="shared" si="13"/>
        <v>129232.7036971505</v>
      </c>
      <c r="J89" s="225">
        <f t="shared" si="13"/>
        <v>107836.5856585818</v>
      </c>
      <c r="K89" s="225">
        <f t="shared" si="13"/>
        <v>89982.867136726578</v>
      </c>
      <c r="L89" s="225">
        <f t="shared" si="13"/>
        <v>75085.058829488495</v>
      </c>
      <c r="M89" s="225">
        <f t="shared" si="13"/>
        <v>62653.772199337815</v>
      </c>
      <c r="N89" s="225">
        <f t="shared" si="13"/>
        <v>52280.643206539498</v>
      </c>
      <c r="O89" s="225">
        <f t="shared" si="13"/>
        <v>26277.179904968631</v>
      </c>
    </row>
    <row r="90" spans="2:15" x14ac:dyDescent="0.3">
      <c r="B90" t="s">
        <v>276</v>
      </c>
      <c r="C90"/>
      <c r="D90"/>
      <c r="E90" s="225">
        <f>E88</f>
        <v>-444000</v>
      </c>
      <c r="F90" s="225">
        <f t="shared" ref="F90:O90" si="14">E90+F88</f>
        <v>-301770.02983568073</v>
      </c>
      <c r="G90" s="225">
        <f t="shared" si="14"/>
        <v>-18637.740891054098</v>
      </c>
      <c r="H90" s="225">
        <f t="shared" si="14"/>
        <v>247923.89009486139</v>
      </c>
      <c r="I90" s="225">
        <f t="shared" si="14"/>
        <v>514485.52108077687</v>
      </c>
      <c r="J90" s="225">
        <f t="shared" si="14"/>
        <v>781047.15206669236</v>
      </c>
      <c r="K90" s="225">
        <f t="shared" si="14"/>
        <v>1047608.7830526079</v>
      </c>
      <c r="L90" s="225">
        <f t="shared" si="14"/>
        <v>1314170.4140385233</v>
      </c>
      <c r="M90" s="225">
        <f t="shared" si="14"/>
        <v>1580732.0450244388</v>
      </c>
      <c r="N90" s="225">
        <f t="shared" si="14"/>
        <v>1847293.6760103542</v>
      </c>
      <c r="O90" s="225">
        <f t="shared" si="14"/>
        <v>2007855.3069962696</v>
      </c>
    </row>
    <row r="91" spans="2:15" x14ac:dyDescent="0.3">
      <c r="B91"/>
      <c r="C91" s="229" t="s">
        <v>280</v>
      </c>
      <c r="D91" s="229" t="s">
        <v>281</v>
      </c>
      <c r="E91" s="229" t="s">
        <v>282</v>
      </c>
      <c r="F91"/>
      <c r="G91"/>
      <c r="H91"/>
      <c r="I91"/>
      <c r="J91"/>
      <c r="K91"/>
      <c r="L91"/>
      <c r="M91"/>
      <c r="N91"/>
      <c r="O91"/>
    </row>
    <row r="92" spans="2:15" x14ac:dyDescent="0.3">
      <c r="B92" s="35" t="s">
        <v>267</v>
      </c>
      <c r="C92" s="226">
        <f>SUM(E89:O89)</f>
        <v>570045.80530278012</v>
      </c>
      <c r="D92" s="225">
        <f>SUM(E101:O101)</f>
        <v>552696.84267048538</v>
      </c>
      <c r="E92" s="226">
        <f>C92-D92</f>
        <v>17348.962632294744</v>
      </c>
      <c r="F92"/>
      <c r="G92"/>
      <c r="H92"/>
      <c r="I92"/>
      <c r="J92"/>
      <c r="K92"/>
      <c r="L92"/>
      <c r="M92"/>
      <c r="N92"/>
      <c r="O92"/>
    </row>
    <row r="93" spans="2:15" x14ac:dyDescent="0.3">
      <c r="B93" s="35" t="s">
        <v>268</v>
      </c>
      <c r="C93" s="227">
        <f>IRR(E88:O88)</f>
        <v>0.50272419542949831</v>
      </c>
      <c r="D93" s="230">
        <f>IRR(E100:O100)</f>
        <v>0.45570403124508574</v>
      </c>
      <c r="E93" s="227">
        <f>C93-D93</f>
        <v>4.7020164184412572E-2</v>
      </c>
      <c r="F93"/>
      <c r="G93"/>
      <c r="H93"/>
      <c r="I93"/>
      <c r="J93"/>
      <c r="K93"/>
      <c r="L93"/>
      <c r="M93"/>
      <c r="N93"/>
      <c r="O93"/>
    </row>
    <row r="94" spans="2:15" x14ac:dyDescent="0.3">
      <c r="B94" t="s">
        <v>270</v>
      </c>
      <c r="C94">
        <f>COUNTIF(E90:O90,"&lt;0")</f>
        <v>3</v>
      </c>
      <c r="D94">
        <f>COUNTIF(E102:O102,"&lt;0")</f>
        <v>3</v>
      </c>
      <c r="E94"/>
      <c r="F94"/>
      <c r="G94"/>
      <c r="H94"/>
      <c r="I94"/>
      <c r="J94"/>
      <c r="K94"/>
      <c r="L94"/>
      <c r="M94"/>
      <c r="N94"/>
      <c r="O94"/>
    </row>
    <row r="95" spans="2:15" x14ac:dyDescent="0.3">
      <c r="B95" s="45" t="s">
        <v>271</v>
      </c>
      <c r="C95" s="199" cm="1">
        <f t="array" ref="C95">((C94-1)+(-INDEX(E90:O90,C94))/INDEX(E88:O88,C94+1))*12</f>
        <v>24.839028819959712</v>
      </c>
      <c r="D95" s="220" cm="1">
        <f t="array" ref="D95">((D94-1)+(-INDEX(E102:O102,D94))/INDEX(E100:O100,D94+1))*12</f>
        <v>28.619575714188642</v>
      </c>
      <c r="E95" s="199">
        <f>C95-D95</f>
        <v>-3.7805468942289302</v>
      </c>
    </row>
    <row r="96" spans="2:15" x14ac:dyDescent="0.3">
      <c r="B96" s="38" t="s">
        <v>283</v>
      </c>
      <c r="C96" s="219">
        <f>C92-C61</f>
        <v>8588.4368208660744</v>
      </c>
    </row>
    <row r="97" spans="2:15" x14ac:dyDescent="0.3">
      <c r="B97" s="38" t="s">
        <v>284</v>
      </c>
      <c r="C97" s="192">
        <f>C93-C63</f>
        <v>3.6183861737503875E-2</v>
      </c>
    </row>
    <row r="98" spans="2:15" x14ac:dyDescent="0.3">
      <c r="B98" s="38" t="s">
        <v>285</v>
      </c>
      <c r="C98" s="220">
        <f>C95-C65</f>
        <v>-3.5536842234430495</v>
      </c>
    </row>
    <row r="100" spans="2:15" x14ac:dyDescent="0.3">
      <c r="B100" s="38" t="s">
        <v>277</v>
      </c>
      <c r="E100" s="219">
        <f>-C84+C85</f>
        <v>-444000</v>
      </c>
      <c r="F100" s="228">
        <f>'EERR Mensual'!U87-$C$85*(1+$C$86)</f>
        <v>36229.970164319282</v>
      </c>
      <c r="G100" s="43">
        <f t="shared" ref="G100:O100" si="15">G55</f>
        <v>299032.28894462663</v>
      </c>
      <c r="H100" s="43">
        <f t="shared" si="15"/>
        <v>282461.63098591549</v>
      </c>
      <c r="I100" s="43">
        <f t="shared" si="15"/>
        <v>282461.63098591549</v>
      </c>
      <c r="J100" s="43">
        <f t="shared" si="15"/>
        <v>282461.63098591549</v>
      </c>
      <c r="K100" s="43">
        <f t="shared" si="15"/>
        <v>282461.63098591549</v>
      </c>
      <c r="L100" s="43">
        <f t="shared" si="15"/>
        <v>282461.63098591549</v>
      </c>
      <c r="M100" s="43">
        <f t="shared" si="15"/>
        <v>282461.63098591549</v>
      </c>
      <c r="N100" s="43">
        <f t="shared" si="15"/>
        <v>282461.63098591549</v>
      </c>
      <c r="O100" s="43">
        <f t="shared" si="15"/>
        <v>282461.63098591549</v>
      </c>
    </row>
    <row r="101" spans="2:15" x14ac:dyDescent="0.3">
      <c r="B101" s="38" t="s">
        <v>278</v>
      </c>
      <c r="E101" s="219">
        <f t="shared" ref="E101:O101" si="16">E100*E56</f>
        <v>-444000</v>
      </c>
      <c r="F101" s="219">
        <f t="shared" si="16"/>
        <v>30231.637729936498</v>
      </c>
      <c r="G101" s="219">
        <f t="shared" si="16"/>
        <v>208211.86863622718</v>
      </c>
      <c r="H101" s="219">
        <f t="shared" si="16"/>
        <v>164112.08287765918</v>
      </c>
      <c r="I101" s="219">
        <f t="shared" si="16"/>
        <v>136941.23992265575</v>
      </c>
      <c r="J101" s="219">
        <f t="shared" si="16"/>
        <v>114268.87565331868</v>
      </c>
      <c r="K101" s="219">
        <f t="shared" si="16"/>
        <v>95350.209699053376</v>
      </c>
      <c r="L101" s="219">
        <f t="shared" si="16"/>
        <v>79563.769553808554</v>
      </c>
      <c r="M101" s="219">
        <f t="shared" si="16"/>
        <v>66390.975390528183</v>
      </c>
      <c r="N101" s="219">
        <f t="shared" si="16"/>
        <v>55399.104869268071</v>
      </c>
      <c r="O101" s="219">
        <f t="shared" si="16"/>
        <v>46227.078338029896</v>
      </c>
    </row>
    <row r="102" spans="2:15" x14ac:dyDescent="0.3">
      <c r="B102" s="38" t="s">
        <v>279</v>
      </c>
      <c r="E102" s="219">
        <f>E100</f>
        <v>-444000</v>
      </c>
      <c r="F102" s="219">
        <f t="shared" ref="F102:O102" si="17">E102+F100</f>
        <v>-407770.02983568073</v>
      </c>
      <c r="G102" s="219">
        <f t="shared" si="17"/>
        <v>-108737.7408910541</v>
      </c>
      <c r="H102" s="219">
        <f t="shared" si="17"/>
        <v>173723.89009486139</v>
      </c>
      <c r="I102" s="219">
        <f t="shared" si="17"/>
        <v>456185.52108077687</v>
      </c>
      <c r="J102" s="219">
        <f t="shared" si="17"/>
        <v>738647.15206669236</v>
      </c>
      <c r="K102" s="219">
        <f t="shared" si="17"/>
        <v>1021108.7830526079</v>
      </c>
      <c r="L102" s="219">
        <f t="shared" si="17"/>
        <v>1303570.4140385233</v>
      </c>
      <c r="M102" s="219">
        <f t="shared" si="17"/>
        <v>1586032.0450244388</v>
      </c>
      <c r="N102" s="219">
        <f t="shared" si="17"/>
        <v>1868493.6760103542</v>
      </c>
      <c r="O102" s="219">
        <f t="shared" si="17"/>
        <v>2150955.3069962696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A0259-BB85-C343-8010-78924C8EE03C}">
  <dimension ref="A2:I24"/>
  <sheetViews>
    <sheetView workbookViewId="0">
      <selection activeCell="B29" sqref="B29"/>
    </sheetView>
  </sheetViews>
  <sheetFormatPr baseColWidth="10" defaultRowHeight="18" x14ac:dyDescent="0.3"/>
  <cols>
    <col min="1" max="1" width="10.77734375" style="89"/>
    <col min="2" max="2" width="49.6640625" style="90" customWidth="1"/>
    <col min="3" max="3" width="43.6640625" style="90" customWidth="1"/>
    <col min="4" max="4" width="73.44140625" style="91" customWidth="1"/>
    <col min="5" max="8" width="10.77734375" style="91"/>
    <col min="9" max="9" width="10.77734375" style="89"/>
  </cols>
  <sheetData>
    <row r="2" spans="2:4" x14ac:dyDescent="0.3">
      <c r="B2" s="90" t="s">
        <v>156</v>
      </c>
      <c r="C2" s="90" t="s">
        <v>158</v>
      </c>
      <c r="D2" s="90" t="s">
        <v>157</v>
      </c>
    </row>
    <row r="3" spans="2:4" ht="108" x14ac:dyDescent="0.3">
      <c r="B3" s="90" t="s">
        <v>137</v>
      </c>
      <c r="C3" s="90" t="s">
        <v>167</v>
      </c>
      <c r="D3" s="90"/>
    </row>
    <row r="4" spans="2:4" ht="54" x14ac:dyDescent="0.3">
      <c r="B4" s="90" t="s">
        <v>138</v>
      </c>
      <c r="C4" s="90" t="s">
        <v>159</v>
      </c>
      <c r="D4" s="90"/>
    </row>
    <row r="5" spans="2:4" x14ac:dyDescent="0.3">
      <c r="B5" s="90" t="s">
        <v>139</v>
      </c>
      <c r="D5" s="90"/>
    </row>
    <row r="6" spans="2:4" ht="90" x14ac:dyDescent="0.3">
      <c r="B6" s="90" t="s">
        <v>140</v>
      </c>
      <c r="C6" s="90" t="s">
        <v>160</v>
      </c>
      <c r="D6" s="90"/>
    </row>
    <row r="7" spans="2:4" ht="90" x14ac:dyDescent="0.3">
      <c r="B7" s="90" t="s">
        <v>141</v>
      </c>
      <c r="C7" s="90" t="s">
        <v>161</v>
      </c>
      <c r="D7" s="90"/>
    </row>
    <row r="8" spans="2:4" x14ac:dyDescent="0.3">
      <c r="B8" s="90" t="s">
        <v>142</v>
      </c>
      <c r="C8" s="90" t="s">
        <v>143</v>
      </c>
      <c r="D8" s="90"/>
    </row>
    <row r="9" spans="2:4" x14ac:dyDescent="0.3">
      <c r="B9" s="90" t="s">
        <v>144</v>
      </c>
      <c r="C9" s="90" t="s">
        <v>145</v>
      </c>
      <c r="D9" s="90" t="s">
        <v>184</v>
      </c>
    </row>
    <row r="10" spans="2:4" ht="36" x14ac:dyDescent="0.3">
      <c r="B10" s="90" t="s">
        <v>146</v>
      </c>
      <c r="C10" s="90" t="s">
        <v>162</v>
      </c>
      <c r="D10" s="90"/>
    </row>
    <row r="11" spans="2:4" ht="54" x14ac:dyDescent="0.3">
      <c r="B11" s="90" t="s">
        <v>147</v>
      </c>
      <c r="C11" s="90" t="s">
        <v>163</v>
      </c>
      <c r="D11" s="90" t="s">
        <v>188</v>
      </c>
    </row>
    <row r="12" spans="2:4" ht="90" x14ac:dyDescent="0.3">
      <c r="B12" s="90" t="s">
        <v>148</v>
      </c>
      <c r="C12" s="90" t="s">
        <v>164</v>
      </c>
      <c r="D12" s="90"/>
    </row>
    <row r="13" spans="2:4" ht="36" x14ac:dyDescent="0.3">
      <c r="B13" s="96" t="s">
        <v>149</v>
      </c>
      <c r="C13" s="96" t="s">
        <v>150</v>
      </c>
      <c r="D13" s="90"/>
    </row>
    <row r="14" spans="2:4" x14ac:dyDescent="0.3">
      <c r="B14" s="90" t="s">
        <v>152</v>
      </c>
      <c r="C14" s="90" t="s">
        <v>151</v>
      </c>
      <c r="D14" s="90"/>
    </row>
    <row r="15" spans="2:4" ht="72" x14ac:dyDescent="0.3">
      <c r="B15" s="90" t="s">
        <v>153</v>
      </c>
      <c r="C15" s="90" t="s">
        <v>165</v>
      </c>
      <c r="D15" s="90" t="s">
        <v>189</v>
      </c>
    </row>
    <row r="16" spans="2:4" ht="36" x14ac:dyDescent="0.3">
      <c r="B16" s="96" t="s">
        <v>154</v>
      </c>
      <c r="C16" s="96" t="s">
        <v>168</v>
      </c>
      <c r="D16" s="90"/>
    </row>
    <row r="17" spans="2:4" x14ac:dyDescent="0.3">
      <c r="B17" s="96" t="s">
        <v>43</v>
      </c>
      <c r="C17" s="96" t="s">
        <v>166</v>
      </c>
      <c r="D17" s="90"/>
    </row>
    <row r="18" spans="2:4" x14ac:dyDescent="0.3">
      <c r="B18" s="90" t="s">
        <v>155</v>
      </c>
      <c r="D18" s="90"/>
    </row>
    <row r="19" spans="2:4" ht="36" x14ac:dyDescent="0.3">
      <c r="B19" s="90" t="s">
        <v>169</v>
      </c>
      <c r="D19" s="90"/>
    </row>
    <row r="20" spans="2:4" ht="36" x14ac:dyDescent="0.3">
      <c r="B20" s="90" t="s">
        <v>170</v>
      </c>
      <c r="C20" s="90" t="s">
        <v>171</v>
      </c>
      <c r="D20" s="90"/>
    </row>
    <row r="21" spans="2:4" ht="72" x14ac:dyDescent="0.3">
      <c r="B21" s="90" t="s">
        <v>172</v>
      </c>
      <c r="C21" s="90" t="s">
        <v>173</v>
      </c>
      <c r="D21" s="90"/>
    </row>
    <row r="22" spans="2:4" x14ac:dyDescent="0.3">
      <c r="B22" s="90" t="s">
        <v>174</v>
      </c>
      <c r="C22" s="90" t="s">
        <v>175</v>
      </c>
      <c r="D22" s="90"/>
    </row>
    <row r="23" spans="2:4" ht="54" x14ac:dyDescent="0.3">
      <c r="B23" s="90" t="s">
        <v>176</v>
      </c>
      <c r="C23" s="90" t="s">
        <v>177</v>
      </c>
      <c r="D23" s="90"/>
    </row>
    <row r="24" spans="2:4" ht="54" x14ac:dyDescent="0.3">
      <c r="B24" s="90" t="s">
        <v>178</v>
      </c>
      <c r="C24" s="90" t="s">
        <v>179</v>
      </c>
      <c r="D24" s="90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EERR Mensual</vt:lpstr>
      <vt:lpstr>Cash Flow</vt:lpstr>
      <vt:lpstr>ITEMS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Sanjurjo</dc:creator>
  <cp:lastModifiedBy>Lisandro de la Torre</cp:lastModifiedBy>
  <dcterms:created xsi:type="dcterms:W3CDTF">2026-05-15T20:40:16Z</dcterms:created>
  <dcterms:modified xsi:type="dcterms:W3CDTF">2026-06-26T23:28:59Z</dcterms:modified>
</cp:coreProperties>
</file>